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MS_Starter\"/>
    </mc:Choice>
  </mc:AlternateContent>
  <xr:revisionPtr revIDLastSave="0" documentId="8_{ACC133ED-4D06-49F5-8DA5-A2E0084488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definedNames>
    <definedName name="_xlnm.Print_Area" localSheetId="0">Sheet2!$A$1:$K$94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2" l="1"/>
  <c r="F66" i="2"/>
  <c r="G35" i="2"/>
  <c r="H24" i="2"/>
  <c r="F16" i="2"/>
  <c r="F13" i="2"/>
  <c r="I66" i="2"/>
  <c r="I67" i="2" s="1"/>
  <c r="I69" i="2" s="1"/>
  <c r="F49" i="2"/>
  <c r="F18" i="2" l="1"/>
  <c r="H25" i="2"/>
  <c r="F67" i="2" l="1"/>
  <c r="F69" i="2"/>
</calcChain>
</file>

<file path=xl/sharedStrings.xml><?xml version="1.0" encoding="utf-8"?>
<sst xmlns="http://schemas.openxmlformats.org/spreadsheetml/2006/main" count="109" uniqueCount="87">
  <si>
    <t>P.O. No.</t>
  </si>
  <si>
    <t>Venue</t>
  </si>
  <si>
    <t>*Name of User Organisation</t>
  </si>
  <si>
    <t>Seminar/Training/Consultancy/Career Development Programme/Other(Specify)         Tick Appropriately</t>
  </si>
  <si>
    <t>Item</t>
  </si>
  <si>
    <t>NPC Consultant</t>
  </si>
  <si>
    <t>Guest Consultant</t>
  </si>
  <si>
    <t>Faculty</t>
  </si>
  <si>
    <t>Consultant Day</t>
  </si>
  <si>
    <t>Rate/Day</t>
  </si>
  <si>
    <t>Estimated Total</t>
  </si>
  <si>
    <t>Actual</t>
  </si>
  <si>
    <t>TOTAL</t>
  </si>
  <si>
    <t>No. of consultants trip</t>
  </si>
  <si>
    <t>Mode of travel</t>
  </si>
  <si>
    <t>Avg cost/trip</t>
  </si>
  <si>
    <t>NPC Supporting Staff</t>
  </si>
  <si>
    <t>Local Conveyance for NPC &amp; Outside Consultants</t>
  </si>
  <si>
    <t>Consultant Days</t>
  </si>
  <si>
    <t>Rate</t>
  </si>
  <si>
    <t>Outstation NPC Consultants (No charge if free L&amp;B provided)</t>
  </si>
  <si>
    <t>Local NPC Consultant</t>
  </si>
  <si>
    <t>Guest Faculty</t>
  </si>
  <si>
    <t>Publication Charges</t>
  </si>
  <si>
    <t>No.</t>
  </si>
  <si>
    <t>Publication Titles</t>
  </si>
  <si>
    <t>(i)</t>
  </si>
  <si>
    <t>(ii)</t>
  </si>
  <si>
    <t>(iii)</t>
  </si>
  <si>
    <t>Periodicals</t>
  </si>
  <si>
    <t>P.T.O.</t>
  </si>
  <si>
    <t>Administrative Expenses</t>
  </si>
  <si>
    <t>1. Hiring of Hall</t>
  </si>
  <si>
    <t>3. working lunch for ……… persons for ……… days</t>
  </si>
  <si>
    <t>2. Refreshment for …….. person for ……… days</t>
  </si>
  <si>
    <t>4. Advertisement</t>
  </si>
  <si>
    <t>5. Brochure</t>
  </si>
  <si>
    <t>6. Stationery</t>
  </si>
  <si>
    <t>7. Cyolostyled Material</t>
  </si>
  <si>
    <t>8. Training Aids</t>
  </si>
  <si>
    <t>9. Residential Expenses of participants, if any</t>
  </si>
  <si>
    <t>10. Factory/ other visits</t>
  </si>
  <si>
    <t>11. Documentation fees</t>
  </si>
  <si>
    <t>A. Consultant Fee</t>
  </si>
  <si>
    <t>B. Travel Expenses</t>
  </si>
  <si>
    <t>C. Expenses in lieu of lodge &amp; board</t>
  </si>
  <si>
    <t>D. Publication Charges</t>
  </si>
  <si>
    <t>E. Administrative Expenses</t>
  </si>
  <si>
    <t>TOTAL of A+B+C+D+E</t>
  </si>
  <si>
    <t>GRAND TOTAL</t>
  </si>
  <si>
    <t>F. Add 5% towards unforeseen expenses</t>
  </si>
  <si>
    <t>G. Income</t>
  </si>
  <si>
    <t>Estimated</t>
  </si>
  <si>
    <t>1. Total fee to be quote to user organisation</t>
  </si>
  <si>
    <t>2. Participation fee for the self run prog/seminar                         a) per participant @ Rs.                                                                         b) Total fees (no. of participants</t>
  </si>
  <si>
    <t>3. Total Allowment for Career Development Programme/ Developmental Project/ others(Specify) when organised by NPC</t>
  </si>
  <si>
    <t>Approved by ED/Divisional Head/RD</t>
  </si>
  <si>
    <t>Signature of ED/ Divisional Head/ RD</t>
  </si>
  <si>
    <t>Date      …………………………………………………………………………</t>
  </si>
  <si>
    <t>Designation</t>
  </si>
  <si>
    <t>Date   …………………………………………………………………..</t>
  </si>
  <si>
    <t>For RDs</t>
  </si>
  <si>
    <t>Note:</t>
  </si>
  <si>
    <t>2) One copy of the cost estimation form showing the actual cost against each item, alongwith form NPC-RD-15, should be sent to headquarters with imprest account of RD</t>
  </si>
  <si>
    <t xml:space="preserve"> 1) Separate file may be open for each assignment/ programme, and the cost estimation form, bills and sanctions relating to the assignment/ programme may be processed and kept in that file.</t>
  </si>
  <si>
    <t>For HQ</t>
  </si>
  <si>
    <t>3) One copy of the cost estimation form soon after obtaining sanction, should be sent to B &amp; A section</t>
  </si>
  <si>
    <t xml:space="preserve">Programme Title:                                                                                                                                                           </t>
  </si>
  <si>
    <t>Project Associate</t>
  </si>
  <si>
    <t>Duration :</t>
  </si>
  <si>
    <t>From :</t>
  </si>
  <si>
    <t>To :</t>
  </si>
  <si>
    <t>Assignment Register
 Page No.</t>
  </si>
  <si>
    <t>Letter of Acceptance 
and date</t>
  </si>
  <si>
    <t>NPC Programme 
*User Organisation</t>
  </si>
  <si>
    <t>FORM NO. NPV-ASS-6
(Rule 2.2.3 of MAAP)</t>
  </si>
  <si>
    <r>
      <rPr>
        <b/>
        <sz val="18"/>
        <color theme="1"/>
        <rFont val="Calibri"/>
        <family val="2"/>
        <scheme val="minor"/>
      </rPr>
      <t xml:space="preserve">Programme Cost Estimation Form </t>
    </r>
    <r>
      <rPr>
        <b/>
        <sz val="16"/>
        <color theme="1"/>
        <rFont val="Calibri"/>
        <family val="2"/>
        <scheme val="minor"/>
      </rPr>
      <t xml:space="preserve">
</t>
    </r>
    <r>
      <rPr>
        <b/>
        <u/>
        <sz val="12"/>
        <color theme="1"/>
        <rFont val="Calibri"/>
        <family val="2"/>
        <scheme val="minor"/>
      </rPr>
      <t>*(To be prepared in duplicate)</t>
    </r>
  </si>
  <si>
    <t>Support Staff</t>
  </si>
  <si>
    <t>12. IT Dashboard Design</t>
  </si>
  <si>
    <t>13. Miscellaneous</t>
  </si>
  <si>
    <t>Resource Optimization Study</t>
  </si>
  <si>
    <r>
      <t xml:space="preserve">RD/Division:   </t>
    </r>
    <r>
      <rPr>
        <b/>
        <sz val="11"/>
        <color theme="1"/>
        <rFont val="Calibri"/>
        <family val="2"/>
        <scheme val="minor"/>
      </rPr>
      <t>IE Group</t>
    </r>
  </si>
  <si>
    <t>NPC/HQ/IE/C/01/2024-25</t>
  </si>
  <si>
    <t>5 Months</t>
  </si>
  <si>
    <t>CMR Green Technology Ltd., Palwal</t>
  </si>
  <si>
    <t>(Vijay Kumar)</t>
  </si>
  <si>
    <t>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</si>
</sst>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6" xfId="0" applyBorder="1"/>
    <xf numFmtId="0" fontId="0" fillId="0" borderId="19" xfId="0" applyBorder="1" applyAlignment="1">
      <alignment vertical="top"/>
    </xf>
    <xf numFmtId="0" fontId="0" fillId="0" borderId="20" xfId="0" applyBorder="1" applyAlignment="1">
      <alignment vertical="top"/>
    </xf>
    <xf numFmtId="0" fontId="0" fillId="0" borderId="24" xfId="0" applyBorder="1"/>
    <xf numFmtId="0" fontId="0" fillId="0" borderId="31" xfId="0" applyBorder="1"/>
    <xf numFmtId="0" fontId="1" fillId="0" borderId="33" xfId="0" applyFont="1" applyBorder="1" applyAlignment="1">
      <alignment horizontal="center" vertical="center"/>
    </xf>
    <xf numFmtId="0" fontId="1" fillId="0" borderId="1" xfId="0" applyFont="1" applyBorder="1"/>
    <xf numFmtId="0" fontId="1" fillId="0" borderId="16" xfId="0" applyFont="1" applyBorder="1"/>
    <xf numFmtId="0" fontId="1" fillId="0" borderId="17" xfId="0" applyFont="1" applyBorder="1"/>
    <xf numFmtId="0" fontId="0" fillId="0" borderId="1" xfId="0" applyBorder="1"/>
    <xf numFmtId="0" fontId="1" fillId="0" borderId="10" xfId="0" applyFont="1" applyBorder="1"/>
    <xf numFmtId="0" fontId="0" fillId="0" borderId="14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28" xfId="0" applyBorder="1"/>
    <xf numFmtId="0" fontId="0" fillId="0" borderId="25" xfId="0" applyBorder="1"/>
    <xf numFmtId="0" fontId="1" fillId="0" borderId="11" xfId="0" applyFont="1" applyBorder="1"/>
    <xf numFmtId="0" fontId="0" fillId="0" borderId="1" xfId="0" applyBorder="1" applyAlignment="1">
      <alignment wrapText="1"/>
    </xf>
    <xf numFmtId="0" fontId="0" fillId="0" borderId="43" xfId="0" applyBorder="1"/>
    <xf numFmtId="0" fontId="0" fillId="0" borderId="32" xfId="0" applyBorder="1"/>
    <xf numFmtId="0" fontId="0" fillId="0" borderId="0" xfId="0" applyAlignment="1">
      <alignment horizontal="right" vertical="top" wrapText="1"/>
    </xf>
    <xf numFmtId="0" fontId="2" fillId="0" borderId="0" xfId="0" applyFont="1" applyAlignment="1">
      <alignment horizontal="center" wrapText="1"/>
    </xf>
    <xf numFmtId="0" fontId="0" fillId="0" borderId="28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/>
    <xf numFmtId="0" fontId="0" fillId="0" borderId="30" xfId="0" applyBorder="1"/>
    <xf numFmtId="0" fontId="0" fillId="0" borderId="22" xfId="0" applyBorder="1"/>
    <xf numFmtId="0" fontId="0" fillId="0" borderId="23" xfId="0" applyBorder="1"/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19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39" xfId="0" applyBorder="1" applyAlignment="1">
      <alignment horizontal="left" vertical="top"/>
    </xf>
    <xf numFmtId="0" fontId="0" fillId="0" borderId="40" xfId="0" applyBorder="1" applyAlignment="1">
      <alignment horizontal="left" vertical="top"/>
    </xf>
    <xf numFmtId="0" fontId="0" fillId="0" borderId="41" xfId="0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0" fontId="1" fillId="0" borderId="29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36" xfId="0" applyFont="1" applyBorder="1" applyAlignment="1">
      <alignment horizontal="left" vertical="center"/>
    </xf>
    <xf numFmtId="0" fontId="2" fillId="0" borderId="37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0" fillId="0" borderId="24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2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6" xfId="0" applyBorder="1" applyAlignment="1">
      <alignment horizontal="left"/>
    </xf>
    <xf numFmtId="0" fontId="1" fillId="0" borderId="36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38" xfId="0" applyFont="1" applyBorder="1" applyAlignment="1">
      <alignment horizontal="left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26" xfId="0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1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4"/>
  <sheetViews>
    <sheetView tabSelected="1" view="pageBreakPreview" zoomScaleSheetLayoutView="100" workbookViewId="0">
      <selection activeCell="M11" sqref="M11"/>
    </sheetView>
  </sheetViews>
  <sheetFormatPr defaultColWidth="9.109375" defaultRowHeight="14.4" x14ac:dyDescent="0.3"/>
  <cols>
    <col min="1" max="1" width="16.33203125" customWidth="1"/>
    <col min="2" max="2" width="9.109375" customWidth="1"/>
    <col min="3" max="3" width="7.88671875" customWidth="1"/>
    <col min="4" max="5" width="7.109375" customWidth="1"/>
    <col min="7" max="7" width="10.88671875" customWidth="1"/>
    <col min="15" max="15" width="11" bestFit="1" customWidth="1"/>
  </cols>
  <sheetData>
    <row r="1" spans="1:11" ht="30" customHeight="1" x14ac:dyDescent="0.3">
      <c r="A1" s="23" t="s">
        <v>75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42" customHeight="1" thickBot="1" x14ac:dyDescent="0.45">
      <c r="A2" s="24" t="s">
        <v>76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18.75" customHeight="1" thickBot="1" x14ac:dyDescent="0.35">
      <c r="A3" s="8" t="s">
        <v>67</v>
      </c>
      <c r="B3" s="34" t="s">
        <v>80</v>
      </c>
      <c r="C3" s="34"/>
      <c r="D3" s="34"/>
      <c r="E3" s="34"/>
      <c r="F3" s="34"/>
      <c r="G3" s="34"/>
      <c r="H3" s="34"/>
      <c r="I3" s="22" t="s">
        <v>81</v>
      </c>
      <c r="J3" s="22"/>
      <c r="K3" s="9"/>
    </row>
    <row r="4" spans="1:11" ht="15" customHeight="1" x14ac:dyDescent="0.3">
      <c r="A4" s="25" t="s">
        <v>0</v>
      </c>
      <c r="B4" s="27" t="s">
        <v>82</v>
      </c>
      <c r="C4" s="27"/>
      <c r="D4" s="27"/>
      <c r="E4" s="40" t="s">
        <v>3</v>
      </c>
      <c r="F4" s="41"/>
      <c r="G4" s="42"/>
      <c r="H4" s="35" t="s">
        <v>74</v>
      </c>
      <c r="I4" s="36"/>
      <c r="J4" s="36"/>
      <c r="K4" s="37"/>
    </row>
    <row r="5" spans="1:11" x14ac:dyDescent="0.3">
      <c r="A5" s="26"/>
      <c r="B5" s="28"/>
      <c r="C5" s="28"/>
      <c r="D5" s="28"/>
      <c r="E5" s="43"/>
      <c r="F5" s="44"/>
      <c r="G5" s="45"/>
      <c r="H5" s="36"/>
      <c r="I5" s="36"/>
      <c r="J5" s="36"/>
      <c r="K5" s="37"/>
    </row>
    <row r="6" spans="1:11" ht="30.75" customHeight="1" x14ac:dyDescent="0.3">
      <c r="A6" s="44" t="s">
        <v>72</v>
      </c>
      <c r="B6" s="44"/>
      <c r="C6" s="44"/>
      <c r="D6" s="46"/>
      <c r="E6" s="43"/>
      <c r="F6" s="44"/>
      <c r="G6" s="45"/>
      <c r="H6" s="36"/>
      <c r="I6" s="36"/>
      <c r="J6" s="36"/>
      <c r="K6" s="37"/>
    </row>
    <row r="7" spans="1:11" ht="15" hidden="1" customHeight="1" x14ac:dyDescent="0.3">
      <c r="A7" s="44"/>
      <c r="B7" s="44"/>
      <c r="C7" s="44"/>
      <c r="D7" s="46"/>
      <c r="E7" s="43"/>
      <c r="F7" s="44"/>
      <c r="G7" s="45"/>
      <c r="H7" s="38"/>
      <c r="I7" s="38"/>
      <c r="J7" s="38"/>
      <c r="K7" s="39"/>
    </row>
    <row r="8" spans="1:11" x14ac:dyDescent="0.3">
      <c r="A8" s="18" t="s">
        <v>69</v>
      </c>
      <c r="B8" s="29" t="s">
        <v>83</v>
      </c>
      <c r="C8" s="29"/>
      <c r="D8" s="29"/>
      <c r="E8" s="7" t="s">
        <v>1</v>
      </c>
      <c r="F8" s="31"/>
      <c r="G8" s="32"/>
      <c r="H8" s="5" t="s">
        <v>2</v>
      </c>
      <c r="I8" s="5"/>
      <c r="J8" s="5"/>
      <c r="K8" s="6"/>
    </row>
    <row r="9" spans="1:11" x14ac:dyDescent="0.3">
      <c r="A9" s="17" t="s">
        <v>70</v>
      </c>
      <c r="B9" s="30">
        <v>45481</v>
      </c>
      <c r="C9" s="27"/>
      <c r="D9" s="27"/>
      <c r="E9" s="47" t="s">
        <v>73</v>
      </c>
      <c r="F9" s="48"/>
      <c r="G9" s="49"/>
      <c r="H9" s="27" t="s">
        <v>84</v>
      </c>
      <c r="I9" s="27"/>
      <c r="J9" s="27"/>
      <c r="K9" s="33"/>
    </row>
    <row r="10" spans="1:11" ht="15" thickBot="1" x14ac:dyDescent="0.35">
      <c r="A10" s="17" t="s">
        <v>71</v>
      </c>
      <c r="B10" s="30">
        <v>45641</v>
      </c>
      <c r="C10" s="27"/>
      <c r="D10" s="27"/>
      <c r="E10" s="50"/>
      <c r="F10" s="51"/>
      <c r="G10" s="52"/>
      <c r="H10" s="27"/>
      <c r="I10" s="27"/>
      <c r="J10" s="27"/>
      <c r="K10" s="33"/>
    </row>
    <row r="11" spans="1:11" ht="15" thickBot="1" x14ac:dyDescent="0.35">
      <c r="A11" s="113" t="s">
        <v>43</v>
      </c>
      <c r="B11" s="114"/>
      <c r="C11" s="114"/>
      <c r="D11" s="114"/>
      <c r="E11" s="114"/>
      <c r="F11" s="114"/>
      <c r="G11" s="114"/>
      <c r="H11" s="114"/>
      <c r="I11" s="114"/>
      <c r="J11" s="114"/>
      <c r="K11" s="115"/>
    </row>
    <row r="12" spans="1:11" ht="18" customHeight="1" x14ac:dyDescent="0.3">
      <c r="A12" s="16" t="s">
        <v>4</v>
      </c>
      <c r="B12" s="83" t="s">
        <v>8</v>
      </c>
      <c r="C12" s="83"/>
      <c r="D12" s="83" t="s">
        <v>9</v>
      </c>
      <c r="E12" s="83"/>
      <c r="F12" s="83" t="s">
        <v>10</v>
      </c>
      <c r="G12" s="83"/>
      <c r="H12" s="83"/>
      <c r="I12" s="83" t="s">
        <v>11</v>
      </c>
      <c r="J12" s="83"/>
      <c r="K12" s="84"/>
    </row>
    <row r="13" spans="1:11" x14ac:dyDescent="0.3">
      <c r="A13" s="4" t="s">
        <v>5</v>
      </c>
      <c r="B13" s="125">
        <v>190</v>
      </c>
      <c r="C13" s="125"/>
      <c r="D13" s="125">
        <v>15000</v>
      </c>
      <c r="E13" s="125"/>
      <c r="F13" s="125">
        <f>B13*D13</f>
        <v>2850000</v>
      </c>
      <c r="G13" s="125"/>
      <c r="H13" s="125"/>
      <c r="I13" s="125"/>
      <c r="J13" s="125"/>
      <c r="K13" s="138"/>
    </row>
    <row r="14" spans="1:11" x14ac:dyDescent="0.3">
      <c r="A14" s="4" t="s">
        <v>6</v>
      </c>
      <c r="B14" s="125">
        <v>120</v>
      </c>
      <c r="C14" s="125"/>
      <c r="D14" s="125">
        <v>3000</v>
      </c>
      <c r="E14" s="125"/>
      <c r="F14" s="125">
        <f>B14*D14</f>
        <v>360000</v>
      </c>
      <c r="G14" s="125"/>
      <c r="H14" s="125"/>
      <c r="I14" s="125"/>
      <c r="J14" s="125"/>
      <c r="K14" s="138"/>
    </row>
    <row r="15" spans="1:11" x14ac:dyDescent="0.3">
      <c r="A15" s="4" t="s">
        <v>7</v>
      </c>
      <c r="B15" s="125"/>
      <c r="C15" s="125"/>
      <c r="D15" s="125"/>
      <c r="E15" s="125"/>
      <c r="F15" s="125"/>
      <c r="G15" s="125"/>
      <c r="H15" s="125"/>
      <c r="I15" s="125"/>
      <c r="J15" s="125"/>
      <c r="K15" s="138"/>
    </row>
    <row r="16" spans="1:11" x14ac:dyDescent="0.3">
      <c r="A16" s="4" t="s">
        <v>68</v>
      </c>
      <c r="B16" s="125">
        <v>450</v>
      </c>
      <c r="C16" s="125"/>
      <c r="D16" s="125">
        <v>1200</v>
      </c>
      <c r="E16" s="125"/>
      <c r="F16" s="125">
        <f>B16*D16</f>
        <v>540000</v>
      </c>
      <c r="G16" s="125"/>
      <c r="H16" s="125"/>
      <c r="I16" s="139"/>
      <c r="J16" s="140"/>
      <c r="K16" s="141"/>
    </row>
    <row r="17" spans="1:11" x14ac:dyDescent="0.3">
      <c r="A17" s="21" t="s">
        <v>77</v>
      </c>
      <c r="B17" s="106"/>
      <c r="C17" s="106"/>
      <c r="D17" s="106"/>
      <c r="E17" s="106"/>
      <c r="F17" s="106"/>
      <c r="G17" s="106"/>
      <c r="H17" s="107"/>
      <c r="I17" s="125"/>
      <c r="J17" s="125"/>
      <c r="K17" s="138"/>
    </row>
    <row r="18" spans="1:11" ht="15" thickBot="1" x14ac:dyDescent="0.35">
      <c r="A18" s="19" t="s">
        <v>12</v>
      </c>
      <c r="B18" s="142"/>
      <c r="C18" s="142"/>
      <c r="D18" s="142"/>
      <c r="E18" s="142"/>
      <c r="F18" s="143">
        <f>SUM(F13:H17)</f>
        <v>3750000</v>
      </c>
      <c r="G18" s="143"/>
      <c r="H18" s="143"/>
      <c r="I18" s="142"/>
      <c r="J18" s="142"/>
      <c r="K18" s="142"/>
    </row>
    <row r="19" spans="1:11" ht="15" thickBot="1" x14ac:dyDescent="0.35">
      <c r="A19" s="113" t="s">
        <v>44</v>
      </c>
      <c r="B19" s="114"/>
      <c r="C19" s="114"/>
      <c r="D19" s="114"/>
      <c r="E19" s="114"/>
      <c r="F19" s="114"/>
      <c r="G19" s="114"/>
      <c r="H19" s="114"/>
      <c r="I19" s="114"/>
      <c r="J19" s="114"/>
      <c r="K19" s="115"/>
    </row>
    <row r="20" spans="1:11" ht="30" customHeight="1" x14ac:dyDescent="0.3">
      <c r="A20" s="16" t="s">
        <v>4</v>
      </c>
      <c r="B20" s="136" t="s">
        <v>13</v>
      </c>
      <c r="C20" s="136"/>
      <c r="D20" s="136" t="s">
        <v>14</v>
      </c>
      <c r="E20" s="136"/>
      <c r="F20" s="136" t="s">
        <v>15</v>
      </c>
      <c r="G20" s="136"/>
      <c r="H20" s="136" t="s">
        <v>10</v>
      </c>
      <c r="I20" s="136"/>
      <c r="J20" s="136" t="s">
        <v>11</v>
      </c>
      <c r="K20" s="137"/>
    </row>
    <row r="21" spans="1:11" x14ac:dyDescent="0.3">
      <c r="A21" s="13" t="s">
        <v>5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</row>
    <row r="22" spans="1:11" ht="28.8" x14ac:dyDescent="0.3">
      <c r="A22" s="20" t="s">
        <v>16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32"/>
    </row>
    <row r="23" spans="1:11" x14ac:dyDescent="0.3">
      <c r="A23" s="13" t="s">
        <v>6</v>
      </c>
      <c r="B23" s="132"/>
      <c r="C23" s="132"/>
      <c r="D23" s="132"/>
      <c r="E23" s="132"/>
      <c r="F23" s="132"/>
      <c r="G23" s="132"/>
      <c r="H23" s="132"/>
      <c r="I23" s="132"/>
      <c r="J23" s="132"/>
      <c r="K23" s="132"/>
    </row>
    <row r="24" spans="1:11" ht="43.2" x14ac:dyDescent="0.3">
      <c r="A24" s="20" t="s">
        <v>17</v>
      </c>
      <c r="B24" s="132">
        <v>30</v>
      </c>
      <c r="C24" s="132"/>
      <c r="D24" s="132"/>
      <c r="E24" s="132"/>
      <c r="F24" s="132">
        <v>3000</v>
      </c>
      <c r="G24" s="132"/>
      <c r="H24" s="132">
        <f>B24*F24</f>
        <v>90000</v>
      </c>
      <c r="I24" s="132"/>
      <c r="J24" s="132"/>
      <c r="K24" s="132"/>
    </row>
    <row r="25" spans="1:11" ht="15" thickBot="1" x14ac:dyDescent="0.35">
      <c r="A25" s="14" t="s">
        <v>12</v>
      </c>
      <c r="B25" s="133"/>
      <c r="C25" s="133"/>
      <c r="D25" s="133"/>
      <c r="E25" s="133"/>
      <c r="F25" s="133"/>
      <c r="G25" s="133"/>
      <c r="H25" s="134">
        <f>SUM(H21:I24)</f>
        <v>90000</v>
      </c>
      <c r="I25" s="134"/>
      <c r="J25" s="133"/>
      <c r="K25" s="135"/>
    </row>
    <row r="26" spans="1:11" ht="15" thickBot="1" x14ac:dyDescent="0.35">
      <c r="A26" s="113" t="s">
        <v>45</v>
      </c>
      <c r="B26" s="114"/>
      <c r="C26" s="114"/>
      <c r="D26" s="114"/>
      <c r="E26" s="114"/>
      <c r="F26" s="114"/>
      <c r="G26" s="114"/>
      <c r="H26" s="114"/>
      <c r="I26" s="114"/>
      <c r="J26" s="114"/>
      <c r="K26" s="115"/>
    </row>
    <row r="27" spans="1:11" x14ac:dyDescent="0.3">
      <c r="A27" s="16" t="s">
        <v>4</v>
      </c>
      <c r="B27" s="116" t="s">
        <v>18</v>
      </c>
      <c r="C27" s="116"/>
      <c r="D27" s="116"/>
      <c r="E27" s="116" t="s">
        <v>19</v>
      </c>
      <c r="F27" s="116"/>
      <c r="G27" s="116" t="s">
        <v>10</v>
      </c>
      <c r="H27" s="116"/>
      <c r="I27" s="116"/>
      <c r="J27" s="116" t="s">
        <v>11</v>
      </c>
      <c r="K27" s="117"/>
    </row>
    <row r="28" spans="1:11" ht="15" customHeight="1" x14ac:dyDescent="0.3">
      <c r="A28" s="131" t="s">
        <v>20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</row>
    <row r="29" spans="1:11" x14ac:dyDescent="0.3">
      <c r="A29" s="131"/>
      <c r="B29" s="76"/>
      <c r="C29" s="76"/>
      <c r="D29" s="76"/>
      <c r="E29" s="76"/>
      <c r="F29" s="76"/>
      <c r="G29" s="76"/>
      <c r="H29" s="76"/>
      <c r="I29" s="76"/>
      <c r="J29" s="76"/>
      <c r="K29" s="76"/>
    </row>
    <row r="30" spans="1:11" x14ac:dyDescent="0.3">
      <c r="A30" s="131"/>
      <c r="B30" s="76"/>
      <c r="C30" s="76"/>
      <c r="D30" s="76"/>
      <c r="E30" s="76"/>
      <c r="F30" s="76"/>
      <c r="G30" s="76"/>
      <c r="H30" s="76"/>
      <c r="I30" s="76"/>
      <c r="J30" s="76"/>
      <c r="K30" s="76"/>
    </row>
    <row r="31" spans="1:11" x14ac:dyDescent="0.3">
      <c r="A31" s="131"/>
      <c r="B31" s="76"/>
      <c r="C31" s="76"/>
      <c r="D31" s="76"/>
      <c r="E31" s="76"/>
      <c r="F31" s="76"/>
      <c r="G31" s="76"/>
      <c r="H31" s="76"/>
      <c r="I31" s="76"/>
      <c r="J31" s="76"/>
      <c r="K31" s="76"/>
    </row>
    <row r="32" spans="1:11" ht="28.8" x14ac:dyDescent="0.3">
      <c r="A32" s="20" t="s">
        <v>21</v>
      </c>
      <c r="B32" s="76"/>
      <c r="C32" s="76"/>
      <c r="D32" s="76"/>
      <c r="E32" s="76"/>
      <c r="F32" s="76"/>
      <c r="G32" s="76"/>
      <c r="H32" s="76"/>
      <c r="I32" s="76"/>
      <c r="J32" s="76"/>
      <c r="K32" s="76"/>
    </row>
    <row r="33" spans="1:12" x14ac:dyDescent="0.3">
      <c r="A33" s="13" t="s">
        <v>22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</row>
    <row r="34" spans="1:12" x14ac:dyDescent="0.3">
      <c r="A34" s="13" t="s">
        <v>68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</row>
    <row r="35" spans="1:12" ht="15" thickBot="1" x14ac:dyDescent="0.35">
      <c r="A35" s="14" t="s">
        <v>12</v>
      </c>
      <c r="B35" s="93"/>
      <c r="C35" s="93"/>
      <c r="D35" s="93"/>
      <c r="E35" s="93"/>
      <c r="F35" s="93"/>
      <c r="G35" s="129">
        <f>SUM(G28:I34)</f>
        <v>0</v>
      </c>
      <c r="H35" s="129"/>
      <c r="I35" s="129"/>
      <c r="J35" s="93"/>
      <c r="K35" s="130"/>
    </row>
    <row r="36" spans="1:12" ht="15" thickBot="1" x14ac:dyDescent="0.35">
      <c r="A36" s="113" t="s">
        <v>46</v>
      </c>
      <c r="B36" s="114"/>
      <c r="C36" s="114"/>
      <c r="D36" s="114"/>
      <c r="E36" s="114"/>
      <c r="F36" s="114"/>
      <c r="G36" s="114"/>
      <c r="H36" s="114"/>
      <c r="I36" s="114"/>
      <c r="J36" s="114"/>
      <c r="K36" s="115"/>
    </row>
    <row r="37" spans="1:12" ht="28.8" x14ac:dyDescent="0.3">
      <c r="A37" s="15" t="s">
        <v>23</v>
      </c>
      <c r="B37" s="83" t="s">
        <v>24</v>
      </c>
      <c r="C37" s="83"/>
      <c r="D37" s="83" t="s">
        <v>19</v>
      </c>
      <c r="E37" s="83"/>
      <c r="F37" s="83" t="s">
        <v>10</v>
      </c>
      <c r="G37" s="83"/>
      <c r="H37" s="83"/>
      <c r="I37" s="83" t="s">
        <v>11</v>
      </c>
      <c r="J37" s="83"/>
      <c r="K37" s="83"/>
    </row>
    <row r="38" spans="1:12" x14ac:dyDescent="0.3">
      <c r="A38" s="13" t="s">
        <v>25</v>
      </c>
      <c r="B38" s="125"/>
      <c r="C38" s="125"/>
      <c r="D38" s="125"/>
      <c r="E38" s="125"/>
      <c r="F38" s="125"/>
      <c r="G38" s="125"/>
      <c r="H38" s="125"/>
      <c r="I38" s="125"/>
      <c r="J38" s="125"/>
      <c r="K38" s="125"/>
    </row>
    <row r="39" spans="1:12" x14ac:dyDescent="0.3">
      <c r="A39" s="13" t="s">
        <v>26</v>
      </c>
      <c r="B39" s="125"/>
      <c r="C39" s="125"/>
      <c r="D39" s="125"/>
      <c r="E39" s="125"/>
      <c r="F39" s="125"/>
      <c r="G39" s="125"/>
      <c r="H39" s="125"/>
      <c r="I39" s="125"/>
      <c r="J39" s="125"/>
      <c r="K39" s="125"/>
      <c r="L39" s="1"/>
    </row>
    <row r="40" spans="1:12" x14ac:dyDescent="0.3">
      <c r="A40" s="13" t="s">
        <v>27</v>
      </c>
      <c r="B40" s="125"/>
      <c r="C40" s="125"/>
      <c r="D40" s="125"/>
      <c r="E40" s="125"/>
      <c r="F40" s="125"/>
      <c r="G40" s="125"/>
      <c r="H40" s="125"/>
      <c r="I40" s="125"/>
      <c r="J40" s="125"/>
      <c r="K40" s="125"/>
      <c r="L40" s="1"/>
    </row>
    <row r="41" spans="1:12" x14ac:dyDescent="0.3">
      <c r="A41" s="13" t="s">
        <v>28</v>
      </c>
      <c r="B41" s="125"/>
      <c r="C41" s="125"/>
      <c r="D41" s="125"/>
      <c r="E41" s="125"/>
      <c r="F41" s="125"/>
      <c r="G41" s="125"/>
      <c r="H41" s="125"/>
      <c r="I41" s="125"/>
      <c r="J41" s="125"/>
      <c r="K41" s="125"/>
      <c r="L41" s="1"/>
    </row>
    <row r="42" spans="1:12" x14ac:dyDescent="0.3">
      <c r="A42" s="13"/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"/>
    </row>
    <row r="43" spans="1:12" x14ac:dyDescent="0.3">
      <c r="A43" s="13"/>
      <c r="B43" s="125"/>
      <c r="C43" s="125"/>
      <c r="D43" s="125"/>
      <c r="E43" s="125"/>
      <c r="F43" s="125"/>
      <c r="G43" s="125"/>
      <c r="H43" s="125"/>
      <c r="I43" s="125"/>
      <c r="J43" s="125"/>
      <c r="K43" s="125"/>
      <c r="L43" s="1"/>
    </row>
    <row r="44" spans="1:12" x14ac:dyDescent="0.3">
      <c r="B44" s="150"/>
      <c r="C44" s="150"/>
      <c r="D44" s="150"/>
      <c r="E44" s="150"/>
      <c r="F44" s="150"/>
      <c r="G44" s="150"/>
      <c r="H44" s="150"/>
      <c r="I44" s="149" t="s">
        <v>30</v>
      </c>
      <c r="J44" s="149"/>
      <c r="K44" s="149"/>
      <c r="L44" s="1"/>
    </row>
    <row r="45" spans="1:12" x14ac:dyDescent="0.3">
      <c r="A45" s="13" t="s">
        <v>29</v>
      </c>
      <c r="B45" s="125"/>
      <c r="C45" s="125"/>
      <c r="D45" s="125"/>
      <c r="E45" s="125"/>
      <c r="F45" s="125"/>
      <c r="G45" s="125"/>
      <c r="H45" s="125"/>
      <c r="I45" s="125"/>
      <c r="J45" s="125"/>
      <c r="K45" s="125"/>
    </row>
    <row r="46" spans="1:12" x14ac:dyDescent="0.3">
      <c r="A46" s="13" t="s">
        <v>26</v>
      </c>
      <c r="B46" s="125"/>
      <c r="C46" s="125"/>
      <c r="D46" s="125"/>
      <c r="E46" s="125"/>
      <c r="F46" s="125"/>
      <c r="G46" s="125"/>
      <c r="H46" s="125"/>
      <c r="I46" s="125"/>
      <c r="J46" s="125"/>
      <c r="K46" s="125"/>
    </row>
    <row r="47" spans="1:12" x14ac:dyDescent="0.3">
      <c r="A47" s="13" t="s">
        <v>27</v>
      </c>
      <c r="B47" s="125"/>
      <c r="C47" s="125"/>
      <c r="D47" s="125"/>
      <c r="E47" s="125"/>
      <c r="F47" s="125"/>
      <c r="G47" s="125"/>
      <c r="H47" s="125"/>
      <c r="I47" s="125"/>
      <c r="J47" s="125"/>
      <c r="K47" s="125"/>
    </row>
    <row r="48" spans="1:12" x14ac:dyDescent="0.3">
      <c r="A48" s="13" t="s">
        <v>28</v>
      </c>
      <c r="B48" s="125"/>
      <c r="C48" s="125"/>
      <c r="D48" s="125"/>
      <c r="E48" s="125"/>
      <c r="F48" s="125"/>
      <c r="G48" s="125"/>
      <c r="H48" s="125"/>
      <c r="I48" s="125"/>
      <c r="J48" s="125"/>
      <c r="K48" s="125"/>
    </row>
    <row r="49" spans="1:11" x14ac:dyDescent="0.3">
      <c r="A49" s="10" t="s">
        <v>12</v>
      </c>
      <c r="B49" s="125"/>
      <c r="C49" s="125"/>
      <c r="D49" s="125"/>
      <c r="E49" s="125"/>
      <c r="F49" s="125">
        <f>SUM(F38:H48)</f>
        <v>0</v>
      </c>
      <c r="G49" s="125"/>
      <c r="H49" s="125"/>
      <c r="I49" s="125"/>
      <c r="J49" s="125"/>
      <c r="K49" s="125"/>
    </row>
    <row r="50" spans="1:11" ht="15" thickBot="1" x14ac:dyDescent="0.35">
      <c r="A50" s="126"/>
      <c r="B50" s="127"/>
      <c r="C50" s="127"/>
      <c r="D50" s="127"/>
      <c r="E50" s="127"/>
      <c r="F50" s="127"/>
      <c r="G50" s="127"/>
      <c r="H50" s="127"/>
      <c r="I50" s="127"/>
      <c r="J50" s="127"/>
      <c r="K50" s="128"/>
    </row>
    <row r="51" spans="1:11" ht="15" thickBot="1" x14ac:dyDescent="0.35">
      <c r="A51" s="113" t="s">
        <v>47</v>
      </c>
      <c r="B51" s="114"/>
      <c r="C51" s="114"/>
      <c r="D51" s="114"/>
      <c r="E51" s="114"/>
      <c r="F51" s="114"/>
      <c r="G51" s="114"/>
      <c r="H51" s="114"/>
      <c r="I51" s="114"/>
      <c r="J51" s="114"/>
      <c r="K51" s="115"/>
    </row>
    <row r="52" spans="1:11" x14ac:dyDescent="0.3">
      <c r="A52" s="119" t="s">
        <v>31</v>
      </c>
      <c r="B52" s="120"/>
      <c r="C52" s="120"/>
      <c r="D52" s="120"/>
      <c r="E52" s="121"/>
      <c r="F52" s="118" t="s">
        <v>10</v>
      </c>
      <c r="G52" s="116"/>
      <c r="H52" s="116"/>
      <c r="I52" s="116" t="s">
        <v>11</v>
      </c>
      <c r="J52" s="116"/>
      <c r="K52" s="117"/>
    </row>
    <row r="53" spans="1:11" x14ac:dyDescent="0.3">
      <c r="A53" s="110" t="s">
        <v>32</v>
      </c>
      <c r="B53" s="111"/>
      <c r="C53" s="111"/>
      <c r="D53" s="111"/>
      <c r="E53" s="112"/>
      <c r="F53" s="78"/>
      <c r="G53" s="76"/>
      <c r="H53" s="76"/>
      <c r="I53" s="76"/>
      <c r="J53" s="76"/>
      <c r="K53" s="77"/>
    </row>
    <row r="54" spans="1:11" x14ac:dyDescent="0.3">
      <c r="A54" s="110" t="s">
        <v>34</v>
      </c>
      <c r="B54" s="111"/>
      <c r="C54" s="111"/>
      <c r="D54" s="111"/>
      <c r="E54" s="112"/>
      <c r="F54" s="78"/>
      <c r="G54" s="76"/>
      <c r="H54" s="76"/>
      <c r="I54" s="76"/>
      <c r="J54" s="76"/>
      <c r="K54" s="77"/>
    </row>
    <row r="55" spans="1:11" x14ac:dyDescent="0.3">
      <c r="A55" s="110" t="s">
        <v>33</v>
      </c>
      <c r="B55" s="111"/>
      <c r="C55" s="111"/>
      <c r="D55" s="111"/>
      <c r="E55" s="112"/>
      <c r="F55" s="78"/>
      <c r="G55" s="76"/>
      <c r="H55" s="76"/>
      <c r="I55" s="76"/>
      <c r="J55" s="76"/>
      <c r="K55" s="77"/>
    </row>
    <row r="56" spans="1:11" x14ac:dyDescent="0.3">
      <c r="A56" s="110" t="s">
        <v>35</v>
      </c>
      <c r="B56" s="111"/>
      <c r="C56" s="111"/>
      <c r="D56" s="111"/>
      <c r="E56" s="112"/>
      <c r="F56" s="78"/>
      <c r="G56" s="76"/>
      <c r="H56" s="76"/>
      <c r="I56" s="76"/>
      <c r="J56" s="76"/>
      <c r="K56" s="77"/>
    </row>
    <row r="57" spans="1:11" x14ac:dyDescent="0.3">
      <c r="A57" s="110" t="s">
        <v>36</v>
      </c>
      <c r="B57" s="111"/>
      <c r="C57" s="111"/>
      <c r="D57" s="111"/>
      <c r="E57" s="112"/>
      <c r="F57" s="78"/>
      <c r="G57" s="76"/>
      <c r="H57" s="76"/>
      <c r="I57" s="76"/>
      <c r="J57" s="76"/>
      <c r="K57" s="77"/>
    </row>
    <row r="58" spans="1:11" x14ac:dyDescent="0.3">
      <c r="A58" s="110" t="s">
        <v>37</v>
      </c>
      <c r="B58" s="111"/>
      <c r="C58" s="111"/>
      <c r="D58" s="111"/>
      <c r="E58" s="112"/>
      <c r="F58" s="78">
        <v>50000</v>
      </c>
      <c r="G58" s="76"/>
      <c r="H58" s="76"/>
      <c r="I58" s="76"/>
      <c r="J58" s="76"/>
      <c r="K58" s="77"/>
    </row>
    <row r="59" spans="1:11" x14ac:dyDescent="0.3">
      <c r="A59" s="110" t="s">
        <v>38</v>
      </c>
      <c r="B59" s="111"/>
      <c r="C59" s="111"/>
      <c r="D59" s="111"/>
      <c r="E59" s="112"/>
      <c r="F59" s="78"/>
      <c r="G59" s="76"/>
      <c r="H59" s="76"/>
      <c r="I59" s="76"/>
      <c r="J59" s="76"/>
      <c r="K59" s="77"/>
    </row>
    <row r="60" spans="1:11" x14ac:dyDescent="0.3">
      <c r="A60" s="110" t="s">
        <v>39</v>
      </c>
      <c r="B60" s="111"/>
      <c r="C60" s="111"/>
      <c r="D60" s="111"/>
      <c r="E60" s="112"/>
      <c r="F60" s="78"/>
      <c r="G60" s="76"/>
      <c r="H60" s="76"/>
      <c r="I60" s="76"/>
      <c r="J60" s="76"/>
      <c r="K60" s="77"/>
    </row>
    <row r="61" spans="1:11" x14ac:dyDescent="0.3">
      <c r="A61" s="110" t="s">
        <v>40</v>
      </c>
      <c r="B61" s="111"/>
      <c r="C61" s="111"/>
      <c r="D61" s="111"/>
      <c r="E61" s="112"/>
      <c r="F61" s="78"/>
      <c r="G61" s="76"/>
      <c r="H61" s="76"/>
      <c r="I61" s="76"/>
      <c r="J61" s="76"/>
      <c r="K61" s="77"/>
    </row>
    <row r="62" spans="1:11" x14ac:dyDescent="0.3">
      <c r="A62" s="110" t="s">
        <v>41</v>
      </c>
      <c r="B62" s="111"/>
      <c r="C62" s="111"/>
      <c r="D62" s="111"/>
      <c r="E62" s="112"/>
      <c r="F62" s="78"/>
      <c r="G62" s="76"/>
      <c r="H62" s="76"/>
      <c r="I62" s="76"/>
      <c r="J62" s="76"/>
      <c r="K62" s="77"/>
    </row>
    <row r="63" spans="1:11" x14ac:dyDescent="0.3">
      <c r="A63" s="110" t="s">
        <v>42</v>
      </c>
      <c r="B63" s="111"/>
      <c r="C63" s="111"/>
      <c r="D63" s="111"/>
      <c r="E63" s="112"/>
      <c r="F63" s="78"/>
      <c r="G63" s="76"/>
      <c r="H63" s="76"/>
      <c r="I63" s="76"/>
      <c r="J63" s="76"/>
      <c r="K63" s="77"/>
    </row>
    <row r="64" spans="1:11" x14ac:dyDescent="0.3">
      <c r="A64" s="102" t="s">
        <v>78</v>
      </c>
      <c r="B64" s="103"/>
      <c r="C64" s="103"/>
      <c r="D64" s="103"/>
      <c r="E64" s="104"/>
      <c r="F64" s="105"/>
      <c r="G64" s="106"/>
      <c r="H64" s="107"/>
      <c r="I64" s="108"/>
      <c r="J64" s="106"/>
      <c r="K64" s="109"/>
    </row>
    <row r="65" spans="1:11" x14ac:dyDescent="0.3">
      <c r="A65" s="110" t="s">
        <v>79</v>
      </c>
      <c r="B65" s="111"/>
      <c r="C65" s="111"/>
      <c r="D65" s="111"/>
      <c r="E65" s="112"/>
      <c r="F65" s="106"/>
      <c r="G65" s="106"/>
      <c r="H65" s="107"/>
      <c r="I65" s="76"/>
      <c r="J65" s="76"/>
      <c r="K65" s="77"/>
    </row>
    <row r="66" spans="1:11" x14ac:dyDescent="0.3">
      <c r="A66" s="122" t="s">
        <v>12</v>
      </c>
      <c r="B66" s="123"/>
      <c r="C66" s="123"/>
      <c r="D66" s="123"/>
      <c r="E66" s="124"/>
      <c r="F66" s="78">
        <f>SUM(F53:F65)</f>
        <v>50000</v>
      </c>
      <c r="G66" s="76"/>
      <c r="H66" s="76"/>
      <c r="I66" s="78">
        <f>SUM(I53:K65)</f>
        <v>0</v>
      </c>
      <c r="J66" s="76"/>
      <c r="K66" s="76"/>
    </row>
    <row r="67" spans="1:11" ht="21" x14ac:dyDescent="0.4">
      <c r="A67" s="94" t="s">
        <v>48</v>
      </c>
      <c r="B67" s="95"/>
      <c r="C67" s="95"/>
      <c r="D67" s="95"/>
      <c r="E67" s="96"/>
      <c r="F67" s="97">
        <f>F66+F49+G35+H25+F18</f>
        <v>3890000</v>
      </c>
      <c r="G67" s="98"/>
      <c r="H67" s="98"/>
      <c r="I67" s="78">
        <f>I66+I49+J35+K25+I18</f>
        <v>0</v>
      </c>
      <c r="J67" s="76"/>
      <c r="K67" s="76"/>
    </row>
    <row r="68" spans="1:11" ht="15" thickBot="1" x14ac:dyDescent="0.35">
      <c r="A68" s="99" t="s">
        <v>50</v>
      </c>
      <c r="B68" s="100"/>
      <c r="C68" s="100"/>
      <c r="D68" s="100"/>
      <c r="E68" s="101"/>
      <c r="F68" s="78">
        <v>80000</v>
      </c>
      <c r="G68" s="76"/>
      <c r="H68" s="76"/>
      <c r="I68" s="92"/>
      <c r="J68" s="93"/>
      <c r="K68" s="93"/>
    </row>
    <row r="69" spans="1:11" ht="21.6" thickBot="1" x14ac:dyDescent="0.35">
      <c r="A69" s="85" t="s">
        <v>49</v>
      </c>
      <c r="B69" s="86"/>
      <c r="C69" s="86"/>
      <c r="D69" s="86"/>
      <c r="E69" s="87"/>
      <c r="F69" s="88">
        <f>SUM(F67:H68)</f>
        <v>3970000</v>
      </c>
      <c r="G69" s="89"/>
      <c r="H69" s="89"/>
      <c r="I69" s="90">
        <f>SUM(I67:K68)</f>
        <v>0</v>
      </c>
      <c r="J69" s="91"/>
      <c r="K69" s="91"/>
    </row>
    <row r="70" spans="1:11" x14ac:dyDescent="0.3">
      <c r="A70" s="79" t="s">
        <v>51</v>
      </c>
      <c r="B70" s="80"/>
      <c r="C70" s="80"/>
      <c r="D70" s="80"/>
      <c r="E70" s="81"/>
      <c r="F70" s="82" t="s">
        <v>52</v>
      </c>
      <c r="G70" s="83"/>
      <c r="H70" s="83"/>
      <c r="I70" s="83" t="s">
        <v>11</v>
      </c>
      <c r="J70" s="83"/>
      <c r="K70" s="84"/>
    </row>
    <row r="71" spans="1:11" x14ac:dyDescent="0.3">
      <c r="A71" s="144" t="s">
        <v>53</v>
      </c>
      <c r="B71" s="145"/>
      <c r="C71" s="145"/>
      <c r="D71" s="145"/>
      <c r="E71" s="146"/>
      <c r="F71" s="97">
        <v>3970000</v>
      </c>
      <c r="G71" s="98"/>
      <c r="H71" s="98"/>
      <c r="I71" s="76"/>
      <c r="J71" s="76"/>
      <c r="K71" s="77"/>
    </row>
    <row r="72" spans="1:11" ht="15" customHeight="1" x14ac:dyDescent="0.3">
      <c r="A72" s="147" t="s">
        <v>54</v>
      </c>
      <c r="B72" s="131"/>
      <c r="C72" s="131"/>
      <c r="D72" s="131"/>
      <c r="E72" s="148"/>
      <c r="F72" s="78"/>
      <c r="G72" s="76"/>
      <c r="H72" s="76"/>
      <c r="I72" s="76"/>
      <c r="J72" s="76"/>
      <c r="K72" s="77"/>
    </row>
    <row r="73" spans="1:11" x14ac:dyDescent="0.3">
      <c r="A73" s="147"/>
      <c r="B73" s="131"/>
      <c r="C73" s="131"/>
      <c r="D73" s="131"/>
      <c r="E73" s="148"/>
      <c r="F73" s="78"/>
      <c r="G73" s="76"/>
      <c r="H73" s="76"/>
      <c r="I73" s="76"/>
      <c r="J73" s="76"/>
      <c r="K73" s="77"/>
    </row>
    <row r="74" spans="1:11" x14ac:dyDescent="0.3">
      <c r="A74" s="147"/>
      <c r="B74" s="131"/>
      <c r="C74" s="131"/>
      <c r="D74" s="131"/>
      <c r="E74" s="148"/>
      <c r="F74" s="78"/>
      <c r="G74" s="76"/>
      <c r="H74" s="76"/>
      <c r="I74" s="76"/>
      <c r="J74" s="76"/>
      <c r="K74" s="77"/>
    </row>
    <row r="75" spans="1:11" ht="15" customHeight="1" x14ac:dyDescent="0.3">
      <c r="A75" s="147" t="s">
        <v>55</v>
      </c>
      <c r="B75" s="131"/>
      <c r="C75" s="131"/>
      <c r="D75" s="131"/>
      <c r="E75" s="148"/>
      <c r="F75" s="78"/>
      <c r="G75" s="76"/>
      <c r="H75" s="76"/>
      <c r="I75" s="76"/>
      <c r="J75" s="76"/>
      <c r="K75" s="77"/>
    </row>
    <row r="76" spans="1:11" x14ac:dyDescent="0.3">
      <c r="A76" s="147"/>
      <c r="B76" s="131"/>
      <c r="C76" s="131"/>
      <c r="D76" s="131"/>
      <c r="E76" s="148"/>
      <c r="F76" s="78"/>
      <c r="G76" s="76"/>
      <c r="H76" s="76"/>
      <c r="I76" s="76"/>
      <c r="J76" s="76"/>
      <c r="K76" s="77"/>
    </row>
    <row r="77" spans="1:11" x14ac:dyDescent="0.3">
      <c r="A77" s="147"/>
      <c r="B77" s="131"/>
      <c r="C77" s="131"/>
      <c r="D77" s="131"/>
      <c r="E77" s="148"/>
      <c r="F77" s="78"/>
      <c r="G77" s="76"/>
      <c r="H77" s="76"/>
      <c r="I77" s="76"/>
      <c r="J77" s="76"/>
      <c r="K77" s="77"/>
    </row>
    <row r="78" spans="1:11" x14ac:dyDescent="0.3">
      <c r="A78" s="78"/>
      <c r="B78" s="76"/>
      <c r="C78" s="76"/>
      <c r="D78" s="76"/>
      <c r="E78" s="76"/>
      <c r="F78" s="76"/>
      <c r="G78" s="76"/>
      <c r="H78" s="76"/>
      <c r="I78" s="76"/>
      <c r="J78" s="76"/>
      <c r="K78" s="77"/>
    </row>
    <row r="79" spans="1:11" ht="24" customHeight="1" x14ac:dyDescent="0.3">
      <c r="A79" s="73" t="s">
        <v>56</v>
      </c>
      <c r="B79" s="73"/>
      <c r="C79" s="73"/>
      <c r="D79" s="73"/>
      <c r="E79" s="73"/>
      <c r="F79" s="67" t="s">
        <v>85</v>
      </c>
      <c r="G79" s="68"/>
      <c r="H79" s="68"/>
      <c r="I79" s="68"/>
      <c r="J79" s="68"/>
      <c r="K79" s="69"/>
    </row>
    <row r="80" spans="1:11" x14ac:dyDescent="0.3">
      <c r="A80" s="61" t="s">
        <v>57</v>
      </c>
      <c r="B80" s="62"/>
      <c r="C80" s="62"/>
      <c r="D80" s="62"/>
      <c r="E80" s="63"/>
      <c r="F80" s="70"/>
      <c r="G80" s="62"/>
      <c r="H80" s="62"/>
      <c r="I80" s="62"/>
      <c r="J80" s="62"/>
      <c r="K80" s="63"/>
    </row>
    <row r="81" spans="1:12" x14ac:dyDescent="0.3">
      <c r="A81" s="61"/>
      <c r="B81" s="62"/>
      <c r="C81" s="62"/>
      <c r="D81" s="62"/>
      <c r="E81" s="63"/>
      <c r="F81" s="70"/>
      <c r="G81" s="62"/>
      <c r="H81" s="62"/>
      <c r="I81" s="62"/>
      <c r="J81" s="62"/>
      <c r="K81" s="63"/>
    </row>
    <row r="82" spans="1:12" x14ac:dyDescent="0.3">
      <c r="A82" s="61"/>
      <c r="B82" s="62"/>
      <c r="C82" s="62"/>
      <c r="D82" s="62"/>
      <c r="E82" s="63"/>
      <c r="F82" s="71"/>
      <c r="G82" s="65"/>
      <c r="H82" s="65"/>
      <c r="I82" s="65"/>
      <c r="J82" s="65"/>
      <c r="K82" s="66"/>
    </row>
    <row r="83" spans="1:12" ht="24.75" customHeight="1" x14ac:dyDescent="0.3">
      <c r="A83" s="64"/>
      <c r="B83" s="65"/>
      <c r="C83" s="65"/>
      <c r="D83" s="65"/>
      <c r="E83" s="66"/>
      <c r="F83" s="11" t="s">
        <v>59</v>
      </c>
      <c r="G83" s="12"/>
      <c r="H83" s="74" t="s">
        <v>86</v>
      </c>
      <c r="I83" s="74"/>
      <c r="J83" s="74"/>
      <c r="K83" s="75"/>
    </row>
    <row r="84" spans="1:12" ht="30.75" customHeight="1" thickBot="1" x14ac:dyDescent="0.35">
      <c r="A84" s="55" t="s">
        <v>58</v>
      </c>
      <c r="B84" s="56"/>
      <c r="C84" s="56"/>
      <c r="D84" s="56"/>
      <c r="E84" s="56"/>
      <c r="F84" s="57" t="s">
        <v>60</v>
      </c>
      <c r="G84" s="57"/>
      <c r="H84" s="57"/>
      <c r="I84" s="57"/>
      <c r="J84" s="57"/>
      <c r="K84" s="58"/>
    </row>
    <row r="85" spans="1:12" x14ac:dyDescent="0.3">
      <c r="A85" s="59" t="s">
        <v>61</v>
      </c>
      <c r="B85" s="59"/>
      <c r="C85" s="59"/>
      <c r="D85" s="59"/>
      <c r="E85" s="59"/>
      <c r="F85" s="59"/>
      <c r="G85" s="59"/>
      <c r="H85" s="59"/>
      <c r="I85" s="59"/>
      <c r="J85" s="59"/>
      <c r="K85" s="59"/>
    </row>
    <row r="86" spans="1:12" x14ac:dyDescent="0.3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</row>
    <row r="87" spans="1:12" ht="15" customHeight="1" x14ac:dyDescent="0.3">
      <c r="A87" s="72" t="s">
        <v>62</v>
      </c>
      <c r="B87" s="60" t="s">
        <v>64</v>
      </c>
      <c r="C87" s="60"/>
      <c r="D87" s="60"/>
      <c r="E87" s="60"/>
      <c r="F87" s="60"/>
      <c r="G87" s="60"/>
      <c r="H87" s="60"/>
      <c r="I87" s="60"/>
      <c r="J87" s="60"/>
      <c r="K87" s="60"/>
      <c r="L87" s="3"/>
    </row>
    <row r="88" spans="1:12" x14ac:dyDescent="0.3">
      <c r="A88" s="72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3"/>
    </row>
    <row r="89" spans="1:12" x14ac:dyDescent="0.3">
      <c r="A89" s="72"/>
      <c r="B89" s="60" t="s">
        <v>63</v>
      </c>
      <c r="C89" s="60"/>
      <c r="D89" s="60"/>
      <c r="E89" s="60"/>
      <c r="F89" s="60"/>
      <c r="G89" s="60"/>
      <c r="H89" s="60"/>
      <c r="I89" s="60"/>
      <c r="J89" s="60"/>
      <c r="K89" s="60"/>
      <c r="L89" s="3"/>
    </row>
    <row r="90" spans="1:12" ht="15" customHeight="1" x14ac:dyDescent="0.3">
      <c r="A90" s="72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2"/>
    </row>
    <row r="91" spans="1:12" x14ac:dyDescent="0.3">
      <c r="A91" s="59" t="s">
        <v>65</v>
      </c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2"/>
    </row>
    <row r="92" spans="1:12" x14ac:dyDescent="0.3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</row>
    <row r="93" spans="1:12" x14ac:dyDescent="0.3">
      <c r="B93" s="53" t="s">
        <v>66</v>
      </c>
      <c r="C93" s="53"/>
      <c r="D93" s="53"/>
      <c r="E93" s="53"/>
      <c r="F93" s="53"/>
      <c r="G93" s="53"/>
      <c r="H93" s="53"/>
      <c r="I93" s="53"/>
      <c r="J93" s="53"/>
      <c r="K93" s="53"/>
    </row>
    <row r="94" spans="1:12" x14ac:dyDescent="0.3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</row>
  </sheetData>
  <mergeCells count="235">
    <mergeCell ref="I41:K41"/>
    <mergeCell ref="I44:K44"/>
    <mergeCell ref="I43:K43"/>
    <mergeCell ref="F42:H42"/>
    <mergeCell ref="I42:K42"/>
    <mergeCell ref="D41:E41"/>
    <mergeCell ref="D44:E44"/>
    <mergeCell ref="D43:E43"/>
    <mergeCell ref="B42:C42"/>
    <mergeCell ref="D42:E42"/>
    <mergeCell ref="B41:C41"/>
    <mergeCell ref="B44:C44"/>
    <mergeCell ref="B43:C43"/>
    <mergeCell ref="F41:H41"/>
    <mergeCell ref="F44:H44"/>
    <mergeCell ref="F43:H43"/>
    <mergeCell ref="A78:K78"/>
    <mergeCell ref="A71:E71"/>
    <mergeCell ref="A72:E74"/>
    <mergeCell ref="F71:H71"/>
    <mergeCell ref="I71:K71"/>
    <mergeCell ref="F72:H74"/>
    <mergeCell ref="I72:K74"/>
    <mergeCell ref="A75:E77"/>
    <mergeCell ref="F75:H77"/>
    <mergeCell ref="I75:K77"/>
    <mergeCell ref="I13:K13"/>
    <mergeCell ref="A11:K11"/>
    <mergeCell ref="B18:C18"/>
    <mergeCell ref="D18:E18"/>
    <mergeCell ref="F18:H18"/>
    <mergeCell ref="I18:K18"/>
    <mergeCell ref="B14:C14"/>
    <mergeCell ref="B15:C15"/>
    <mergeCell ref="D15:E15"/>
    <mergeCell ref="D14:E14"/>
    <mergeCell ref="D13:E13"/>
    <mergeCell ref="F13:H13"/>
    <mergeCell ref="F14:H14"/>
    <mergeCell ref="F15:H15"/>
    <mergeCell ref="B12:C12"/>
    <mergeCell ref="D12:E12"/>
    <mergeCell ref="F12:H12"/>
    <mergeCell ref="I12:K12"/>
    <mergeCell ref="B13:C13"/>
    <mergeCell ref="B17:C17"/>
    <mergeCell ref="D17:E17"/>
    <mergeCell ref="F17:H17"/>
    <mergeCell ref="F21:G21"/>
    <mergeCell ref="A19:K19"/>
    <mergeCell ref="B20:C20"/>
    <mergeCell ref="D20:E20"/>
    <mergeCell ref="J20:K20"/>
    <mergeCell ref="H20:I20"/>
    <mergeCell ref="F20:G20"/>
    <mergeCell ref="I15:K15"/>
    <mergeCell ref="I14:K14"/>
    <mergeCell ref="H21:I21"/>
    <mergeCell ref="J21:K21"/>
    <mergeCell ref="B21:C21"/>
    <mergeCell ref="D21:E21"/>
    <mergeCell ref="B16:C16"/>
    <mergeCell ref="D16:E16"/>
    <mergeCell ref="F16:H16"/>
    <mergeCell ref="I17:K17"/>
    <mergeCell ref="I16:K16"/>
    <mergeCell ref="J22:K22"/>
    <mergeCell ref="J23:K23"/>
    <mergeCell ref="J24:K24"/>
    <mergeCell ref="B25:C25"/>
    <mergeCell ref="D25:E25"/>
    <mergeCell ref="F25:G25"/>
    <mergeCell ref="H25:I25"/>
    <mergeCell ref="J25:K25"/>
    <mergeCell ref="F22:G22"/>
    <mergeCell ref="F23:G23"/>
    <mergeCell ref="F24:G24"/>
    <mergeCell ref="H24:I24"/>
    <mergeCell ref="H23:I23"/>
    <mergeCell ref="H22:I22"/>
    <mergeCell ref="B22:C22"/>
    <mergeCell ref="B23:C23"/>
    <mergeCell ref="B24:C24"/>
    <mergeCell ref="D24:E24"/>
    <mergeCell ref="D23:E23"/>
    <mergeCell ref="D22:E22"/>
    <mergeCell ref="A28:A31"/>
    <mergeCell ref="B28:D31"/>
    <mergeCell ref="E28:F31"/>
    <mergeCell ref="G28:I31"/>
    <mergeCell ref="A26:K26"/>
    <mergeCell ref="B27:D27"/>
    <mergeCell ref="E27:F27"/>
    <mergeCell ref="G27:I27"/>
    <mergeCell ref="J27:K27"/>
    <mergeCell ref="J28:K31"/>
    <mergeCell ref="B32:D32"/>
    <mergeCell ref="E32:F32"/>
    <mergeCell ref="G32:I32"/>
    <mergeCell ref="J32:K32"/>
    <mergeCell ref="B33:D33"/>
    <mergeCell ref="E33:F33"/>
    <mergeCell ref="G33:I33"/>
    <mergeCell ref="J33:K33"/>
    <mergeCell ref="B35:D35"/>
    <mergeCell ref="E35:F35"/>
    <mergeCell ref="G35:I35"/>
    <mergeCell ref="J35:K35"/>
    <mergeCell ref="B34:D34"/>
    <mergeCell ref="E34:F34"/>
    <mergeCell ref="G34:I34"/>
    <mergeCell ref="J34:K34"/>
    <mergeCell ref="A36:K36"/>
    <mergeCell ref="I37:K37"/>
    <mergeCell ref="F37:H37"/>
    <mergeCell ref="D37:E37"/>
    <mergeCell ref="B37:C37"/>
    <mergeCell ref="F38:H38"/>
    <mergeCell ref="F39:H39"/>
    <mergeCell ref="F40:H40"/>
    <mergeCell ref="I38:K38"/>
    <mergeCell ref="I39:K39"/>
    <mergeCell ref="I40:K40"/>
    <mergeCell ref="B38:C38"/>
    <mergeCell ref="B39:C39"/>
    <mergeCell ref="B40:C40"/>
    <mergeCell ref="D38:E38"/>
    <mergeCell ref="D39:E39"/>
    <mergeCell ref="D40:E40"/>
    <mergeCell ref="I45:K45"/>
    <mergeCell ref="I46:K46"/>
    <mergeCell ref="I47:K47"/>
    <mergeCell ref="I48:K48"/>
    <mergeCell ref="I49:K49"/>
    <mergeCell ref="A50:K50"/>
    <mergeCell ref="D49:E49"/>
    <mergeCell ref="F45:H45"/>
    <mergeCell ref="F46:H46"/>
    <mergeCell ref="F47:H47"/>
    <mergeCell ref="F48:H48"/>
    <mergeCell ref="F49:H49"/>
    <mergeCell ref="B45:C45"/>
    <mergeCell ref="B46:C46"/>
    <mergeCell ref="B47:C47"/>
    <mergeCell ref="B48:C48"/>
    <mergeCell ref="B49:C49"/>
    <mergeCell ref="D45:E45"/>
    <mergeCell ref="D46:E46"/>
    <mergeCell ref="D47:E47"/>
    <mergeCell ref="D48:E48"/>
    <mergeCell ref="A51:K51"/>
    <mergeCell ref="I52:K52"/>
    <mergeCell ref="F52:H52"/>
    <mergeCell ref="A52:E52"/>
    <mergeCell ref="A66:E66"/>
    <mergeCell ref="A53:E53"/>
    <mergeCell ref="A54:E54"/>
    <mergeCell ref="A55:E55"/>
    <mergeCell ref="A56:E56"/>
    <mergeCell ref="A57:E57"/>
    <mergeCell ref="I53:K53"/>
    <mergeCell ref="I54:K54"/>
    <mergeCell ref="I55:K55"/>
    <mergeCell ref="I56:K56"/>
    <mergeCell ref="I57:K57"/>
    <mergeCell ref="I58:K58"/>
    <mergeCell ref="A65:E65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A58:E58"/>
    <mergeCell ref="A59:E59"/>
    <mergeCell ref="A60:E60"/>
    <mergeCell ref="A61:E61"/>
    <mergeCell ref="A62:E62"/>
    <mergeCell ref="A63:E63"/>
    <mergeCell ref="I59:K59"/>
    <mergeCell ref="I60:K60"/>
    <mergeCell ref="I61:K61"/>
    <mergeCell ref="I62:K62"/>
    <mergeCell ref="I63:K63"/>
    <mergeCell ref="I65:K65"/>
    <mergeCell ref="F62:H62"/>
    <mergeCell ref="F63:H63"/>
    <mergeCell ref="F68:H68"/>
    <mergeCell ref="A70:E70"/>
    <mergeCell ref="F70:H70"/>
    <mergeCell ref="I70:K70"/>
    <mergeCell ref="A69:E69"/>
    <mergeCell ref="F69:H69"/>
    <mergeCell ref="I69:K69"/>
    <mergeCell ref="I68:K68"/>
    <mergeCell ref="I66:K66"/>
    <mergeCell ref="A67:E67"/>
    <mergeCell ref="F67:H67"/>
    <mergeCell ref="I67:K67"/>
    <mergeCell ref="A68:E68"/>
    <mergeCell ref="F66:H66"/>
    <mergeCell ref="A64:E64"/>
    <mergeCell ref="F64:H64"/>
    <mergeCell ref="I64:K64"/>
    <mergeCell ref="F65:H65"/>
    <mergeCell ref="B93:K93"/>
    <mergeCell ref="A94:K94"/>
    <mergeCell ref="A84:E84"/>
    <mergeCell ref="F84:K84"/>
    <mergeCell ref="A85:K86"/>
    <mergeCell ref="B87:K88"/>
    <mergeCell ref="B89:K90"/>
    <mergeCell ref="A91:K92"/>
    <mergeCell ref="A80:E83"/>
    <mergeCell ref="F79:K82"/>
    <mergeCell ref="A87:A90"/>
    <mergeCell ref="A79:E79"/>
    <mergeCell ref="H83:K83"/>
    <mergeCell ref="A1:K1"/>
    <mergeCell ref="A2:K2"/>
    <mergeCell ref="A4:A5"/>
    <mergeCell ref="B4:D5"/>
    <mergeCell ref="B8:D8"/>
    <mergeCell ref="B9:D9"/>
    <mergeCell ref="B10:D10"/>
    <mergeCell ref="F8:G8"/>
    <mergeCell ref="H9:K10"/>
    <mergeCell ref="B3:H3"/>
    <mergeCell ref="H4:K7"/>
    <mergeCell ref="E4:G7"/>
    <mergeCell ref="A6:D7"/>
    <mergeCell ref="E9:G10"/>
  </mergeCells>
  <pageMargins left="0.28999999999999998" right="0.35433070866141736" top="0.31496062992125984" bottom="0.31496062992125984" header="0.31496062992125984" footer="0.31496062992125984"/>
  <pageSetup scale="95" orientation="portrait" horizontalDpi="300" verticalDpi="300" r:id="rId1"/>
  <rowBreaks count="1" manualBreakCount="1">
    <brk id="44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Mujahid Quadri</dc:creator>
  <cp:lastModifiedBy>Vijay Kumar</cp:lastModifiedBy>
  <cp:lastPrinted>2015-03-30T05:20:33Z</cp:lastPrinted>
  <dcterms:created xsi:type="dcterms:W3CDTF">2014-12-15T16:59:10Z</dcterms:created>
  <dcterms:modified xsi:type="dcterms:W3CDTF">2026-01-24T14:10:21Z</dcterms:modified>
</cp:coreProperties>
</file>