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MS_Starter\"/>
    </mc:Choice>
  </mc:AlternateContent>
  <xr:revisionPtr revIDLastSave="0" documentId="8_{3808713B-A6AA-4DF2-B237-F208EA7244E6}" xr6:coauthVersionLast="47" xr6:coauthVersionMax="47" xr10:uidLastSave="{00000000-0000-0000-0000-000000000000}"/>
  <bookViews>
    <workbookView xWindow="-108" yWindow="-108" windowWidth="23256" windowHeight="12456" activeTab="2" xr2:uid="{84654EC5-BDFE-4BF7-BD9E-944F4663A8DC}"/>
  </bookViews>
  <sheets>
    <sheet name="Summary" sheetId="8" r:id="rId1"/>
    <sheet name="Final Summary" sheetId="11" r:id="rId2"/>
    <sheet name="Revenue- Expenditure" sheetId="10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1" l="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4" i="8"/>
  <c r="G14" i="8" l="1"/>
  <c r="F17" i="8"/>
  <c r="F17" i="10"/>
  <c r="F18" i="10"/>
  <c r="F19" i="10"/>
  <c r="F20" i="10"/>
  <c r="G15" i="8" l="1"/>
  <c r="G13" i="8" l="1"/>
  <c r="G12" i="8" l="1"/>
  <c r="G11" i="8" l="1"/>
  <c r="G10" i="8"/>
  <c r="G8" i="8" l="1"/>
  <c r="G7" i="8" l="1"/>
  <c r="G4" i="8" l="1"/>
  <c r="D22" i="11" l="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5" i="8"/>
  <c r="D6" i="8"/>
  <c r="D23" i="8" s="1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4" i="8"/>
  <c r="C23" i="11" l="1"/>
  <c r="D23" i="11"/>
  <c r="L23" i="11"/>
  <c r="K23" i="11"/>
  <c r="J23" i="11"/>
  <c r="I23" i="11"/>
  <c r="H19" i="11"/>
  <c r="H13" i="11"/>
  <c r="H10" i="11"/>
  <c r="G4" i="11"/>
  <c r="J5" i="8"/>
  <c r="J6" i="8"/>
  <c r="J7" i="8"/>
  <c r="J8" i="8"/>
  <c r="J9" i="8"/>
  <c r="J10" i="8"/>
  <c r="J11" i="8"/>
  <c r="J12" i="8"/>
  <c r="J13" i="8"/>
  <c r="J15" i="8"/>
  <c r="J16" i="8"/>
  <c r="J17" i="8"/>
  <c r="J18" i="8"/>
  <c r="J19" i="8"/>
  <c r="J20" i="8"/>
  <c r="J21" i="8"/>
  <c r="J22" i="8"/>
  <c r="J4" i="8"/>
  <c r="H22" i="11" l="1"/>
  <c r="H8" i="11"/>
  <c r="H11" i="11"/>
  <c r="H14" i="11"/>
  <c r="H17" i="11"/>
  <c r="H20" i="11"/>
  <c r="H6" i="11"/>
  <c r="H12" i="11"/>
  <c r="H21" i="11"/>
  <c r="H18" i="11"/>
  <c r="E23" i="11"/>
  <c r="H7" i="11"/>
  <c r="H9" i="11"/>
  <c r="H5" i="11"/>
  <c r="H4" i="11"/>
  <c r="G23" i="11" l="1"/>
  <c r="H23" i="11" s="1"/>
  <c r="N23" i="8" l="1"/>
  <c r="M23" i="8"/>
  <c r="J14" i="8" l="1"/>
  <c r="F21" i="10"/>
  <c r="H21" i="10" s="1"/>
  <c r="G20" i="10"/>
  <c r="H19" i="10"/>
  <c r="G18" i="10"/>
  <c r="H17" i="10"/>
  <c r="F16" i="10"/>
  <c r="G16" i="10" s="1"/>
  <c r="F15" i="10"/>
  <c r="H15" i="10" s="1"/>
  <c r="F14" i="10"/>
  <c r="G14" i="10" s="1"/>
  <c r="F13" i="10"/>
  <c r="H13" i="10" s="1"/>
  <c r="F12" i="10"/>
  <c r="G12" i="10" s="1"/>
  <c r="F11" i="10"/>
  <c r="H11" i="10" s="1"/>
  <c r="F10" i="10"/>
  <c r="G10" i="10" s="1"/>
  <c r="F9" i="10"/>
  <c r="H9" i="10" s="1"/>
  <c r="F8" i="10"/>
  <c r="G8" i="10" s="1"/>
  <c r="F7" i="10"/>
  <c r="H7" i="10" s="1"/>
  <c r="F6" i="10"/>
  <c r="G6" i="10" s="1"/>
  <c r="F5" i="10"/>
  <c r="H5" i="10" s="1"/>
  <c r="F4" i="10"/>
  <c r="G4" i="10" s="1"/>
  <c r="F3" i="10"/>
  <c r="H3" i="10" s="1"/>
  <c r="H10" i="10" l="1"/>
  <c r="H14" i="10"/>
  <c r="H6" i="10"/>
  <c r="H20" i="10"/>
  <c r="H4" i="10"/>
  <c r="H8" i="10"/>
  <c r="H12" i="10"/>
  <c r="H16" i="10"/>
  <c r="H18" i="10"/>
  <c r="G3" i="10"/>
  <c r="G5" i="10"/>
  <c r="G7" i="10"/>
  <c r="G9" i="10"/>
  <c r="G11" i="10"/>
  <c r="G13" i="10"/>
  <c r="G15" i="10"/>
  <c r="G17" i="10"/>
  <c r="G19" i="10"/>
  <c r="G21" i="10"/>
  <c r="F23" i="8" l="1"/>
  <c r="L23" i="8" l="1"/>
  <c r="K23" i="8"/>
  <c r="C23" i="8"/>
  <c r="I23" i="8" l="1"/>
  <c r="J23" i="8" s="1"/>
</calcChain>
</file>

<file path=xl/sharedStrings.xml><?xml version="1.0" encoding="utf-8"?>
<sst xmlns="http://schemas.openxmlformats.org/spreadsheetml/2006/main" count="104" uniqueCount="46">
  <si>
    <t>SN</t>
  </si>
  <si>
    <t>RD/GROUP</t>
  </si>
  <si>
    <t>Annual revenue target (Rs. Lakhs)</t>
  </si>
  <si>
    <t>% achievement w.r.t. annual target</t>
  </si>
  <si>
    <t>Res. Training Pgms</t>
  </si>
  <si>
    <t xml:space="preserve"> Target</t>
  </si>
  <si>
    <t>AIP</t>
  </si>
  <si>
    <t>Bangalore</t>
  </si>
  <si>
    <t>Bhubaneswar</t>
  </si>
  <si>
    <t>Chandigarh</t>
  </si>
  <si>
    <t>Gandhinagar</t>
  </si>
  <si>
    <t>Guwahati</t>
  </si>
  <si>
    <t>Hyderabad</t>
  </si>
  <si>
    <t>Jaipur</t>
  </si>
  <si>
    <t>Kanpur</t>
  </si>
  <si>
    <t>Kolkata</t>
  </si>
  <si>
    <t>Mumbai</t>
  </si>
  <si>
    <t>Patna</t>
  </si>
  <si>
    <t>Agribusiness</t>
  </si>
  <si>
    <t>Economic Services</t>
  </si>
  <si>
    <t>Energy Management</t>
  </si>
  <si>
    <t>Environment &amp; Climate Action</t>
  </si>
  <si>
    <t xml:space="preserve">HRM </t>
  </si>
  <si>
    <t>Industrial Engineering</t>
  </si>
  <si>
    <t>Information Technology</t>
  </si>
  <si>
    <t>TOTAL</t>
  </si>
  <si>
    <t>Deposits      (i)</t>
  </si>
  <si>
    <t xml:space="preserve"> Revenue Earned (Rs. Lakhs)    (i+ii)</t>
  </si>
  <si>
    <t>Net Work Done for other offices/Groups  (ii)</t>
  </si>
  <si>
    <t>No of consultants</t>
  </si>
  <si>
    <t>-</t>
  </si>
  <si>
    <t>Own Expenditure</t>
  </si>
  <si>
    <t xml:space="preserve">Surplus/deficit </t>
  </si>
  <si>
    <t>Surplus/deficit per consultant</t>
  </si>
  <si>
    <t>% Surplus/Deficit</t>
  </si>
  <si>
    <t>Deposit As per Finance</t>
  </si>
  <si>
    <t>Lecture</t>
  </si>
  <si>
    <t>Net Work Done for other offices/Groups  as per PMC</t>
  </si>
  <si>
    <t>Revenue Earned (Rs. Lakhs)    (i+ii)</t>
  </si>
  <si>
    <t xml:space="preserve">Revenue Earned </t>
  </si>
  <si>
    <t>Conducted upto September 2025</t>
  </si>
  <si>
    <t>SUMMARY FOR PERFORMANCE  [April- October, 2025]</t>
  </si>
  <si>
    <t>Revenue target for 7 months (Rs. Lakhs)</t>
  </si>
  <si>
    <t>Conducted upto October 2025</t>
  </si>
  <si>
    <t>% achievement w.r.t. 7 months target</t>
  </si>
  <si>
    <t xml:space="preserve">Revenue-Expenditure [April - October 2025]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</si>
</sst>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3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63">
    <xf numFmtId="0" fontId="0" fillId="0" borderId="0"/>
    <xf numFmtId="164" fontId="5" fillId="0" borderId="0" applyFont="0" applyFill="0" applyBorder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6" borderId="6" applyNumberFormat="0" applyAlignment="0" applyProtection="0"/>
    <xf numFmtId="0" fontId="12" fillId="7" borderId="7" applyNumberFormat="0" applyAlignment="0" applyProtection="0"/>
    <xf numFmtId="0" fontId="13" fillId="7" borderId="6" applyNumberFormat="0" applyAlignment="0" applyProtection="0"/>
    <xf numFmtId="0" fontId="14" fillId="0" borderId="8" applyNumberFormat="0" applyFill="0" applyAlignment="0" applyProtection="0"/>
    <xf numFmtId="0" fontId="15" fillId="8" borderId="9" applyNumberFormat="0" applyAlignment="0" applyProtection="0"/>
    <xf numFmtId="0" fontId="4" fillId="0" borderId="0" applyNumberFormat="0" applyFill="0" applyBorder="0" applyAlignment="0" applyProtection="0"/>
    <xf numFmtId="0" fontId="5" fillId="9" borderId="10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1" applyNumberFormat="0" applyFill="0" applyAlignment="0" applyProtection="0"/>
    <xf numFmtId="0" fontId="18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18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18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18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18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18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18" fillId="33" borderId="0" applyNumberFormat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5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3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5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1" fillId="0" borderId="0" applyNumberFormat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43" fontId="5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3" fillId="0" borderId="0"/>
    <xf numFmtId="43" fontId="5" fillId="0" borderId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 applyNumberFormat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 applyNumberFormat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24" fillId="2" borderId="1" xfId="0" applyFont="1" applyFill="1" applyBorder="1" applyAlignment="1">
      <alignment horizontal="center" vertical="center" wrapText="1"/>
    </xf>
    <xf numFmtId="2" fontId="24" fillId="2" borderId="1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2" fontId="24" fillId="0" borderId="1" xfId="0" applyNumberFormat="1" applyFont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2" fontId="24" fillId="2" borderId="1" xfId="0" applyNumberFormat="1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left" vertical="top"/>
    </xf>
    <xf numFmtId="0" fontId="24" fillId="2" borderId="1" xfId="0" applyFont="1" applyFill="1" applyBorder="1" applyAlignment="1">
      <alignment horizontal="left" vertical="top" wrapText="1"/>
    </xf>
    <xf numFmtId="0" fontId="25" fillId="2" borderId="1" xfId="0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4" fillId="2" borderId="1" xfId="0" applyFont="1" applyFill="1" applyBorder="1" applyAlignment="1">
      <alignment horizontal="left" vertical="center" wrapText="1"/>
    </xf>
    <xf numFmtId="2" fontId="2" fillId="2" borderId="1" xfId="0" applyNumberFormat="1" applyFont="1" applyFill="1" applyBorder="1" applyAlignment="1">
      <alignment horizontal="center" vertical="center"/>
    </xf>
    <xf numFmtId="0" fontId="29" fillId="34" borderId="1" xfId="0" applyFont="1" applyFill="1" applyBorder="1" applyAlignment="1">
      <alignment horizontal="center" vertical="center"/>
    </xf>
    <xf numFmtId="0" fontId="29" fillId="34" borderId="1" xfId="0" applyFont="1" applyFill="1" applyBorder="1" applyAlignment="1">
      <alignment vertical="center"/>
    </xf>
    <xf numFmtId="0" fontId="29" fillId="34" borderId="1" xfId="0" applyFont="1" applyFill="1" applyBorder="1" applyAlignment="1">
      <alignment horizontal="center" vertical="center" wrapText="1"/>
    </xf>
    <xf numFmtId="0" fontId="29" fillId="34" borderId="1" xfId="0" applyFont="1" applyFill="1" applyBorder="1" applyAlignment="1">
      <alignment vertical="center" wrapText="1"/>
    </xf>
    <xf numFmtId="0" fontId="32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vertical="center" wrapText="1"/>
    </xf>
    <xf numFmtId="0" fontId="29" fillId="0" borderId="1" xfId="0" applyFont="1" applyBorder="1" applyAlignment="1">
      <alignment horizontal="center" vertical="center" wrapText="1"/>
    </xf>
    <xf numFmtId="2" fontId="29" fillId="34" borderId="1" xfId="0" applyNumberFormat="1" applyFont="1" applyFill="1" applyBorder="1" applyAlignment="1">
      <alignment horizontal="center" vertical="center"/>
    </xf>
    <xf numFmtId="0" fontId="33" fillId="34" borderId="1" xfId="0" applyFont="1" applyFill="1" applyBorder="1" applyAlignment="1">
      <alignment horizontal="center" vertical="center" wrapText="1"/>
    </xf>
    <xf numFmtId="2" fontId="33" fillId="34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2" fontId="29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2" fontId="24" fillId="0" borderId="1" xfId="0" applyNumberFormat="1" applyFont="1" applyBorder="1" applyAlignment="1">
      <alignment horizontal="center" vertical="center"/>
    </xf>
    <xf numFmtId="10" fontId="24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left" vertical="top"/>
    </xf>
    <xf numFmtId="2" fontId="3" fillId="2" borderId="1" xfId="0" applyNumberFormat="1" applyFont="1" applyFill="1" applyBorder="1" applyAlignment="1">
      <alignment horizontal="center" vertical="center"/>
    </xf>
    <xf numFmtId="2" fontId="28" fillId="2" borderId="1" xfId="0" applyNumberFormat="1" applyFont="1" applyFill="1" applyBorder="1" applyAlignment="1">
      <alignment horizontal="center" vertical="center"/>
    </xf>
    <xf numFmtId="10" fontId="28" fillId="2" borderId="1" xfId="0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top" wrapText="1"/>
    </xf>
    <xf numFmtId="0" fontId="30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26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7" fillId="0" borderId="1" xfId="0" applyFont="1" applyBorder="1" applyAlignment="1">
      <alignment horizontal="center" vertical="top" wrapText="1"/>
    </xf>
    <xf numFmtId="0" fontId="28" fillId="0" borderId="1" xfId="0" applyFont="1" applyBorder="1" applyAlignment="1">
      <alignment horizontal="center" vertical="top" wrapText="1"/>
    </xf>
    <xf numFmtId="0" fontId="27" fillId="0" borderId="12" xfId="0" applyFont="1" applyBorder="1" applyAlignment="1">
      <alignment horizontal="center" vertical="top" wrapText="1"/>
    </xf>
    <xf numFmtId="0" fontId="27" fillId="0" borderId="2" xfId="0" applyFont="1" applyBorder="1" applyAlignment="1">
      <alignment horizontal="center" vertical="top" wrapText="1"/>
    </xf>
    <xf numFmtId="0" fontId="31" fillId="0" borderId="1" xfId="0" applyFont="1" applyBorder="1" applyAlignment="1">
      <alignment horizontal="center" vertical="center" wrapText="1"/>
    </xf>
  </cellXfs>
  <cellStyles count="263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7" xr:uid="{77F1124F-60BD-4EA1-9B98-BE70850F563E}"/>
    <cellStyle name="60% - Accent2 2" xfId="38" xr:uid="{F773DA5B-2389-4EA2-A330-485C4724B1A5}"/>
    <cellStyle name="60% - Accent3 2" xfId="39" xr:uid="{5CD1E1F2-0E3A-4932-982F-16972A110B78}"/>
    <cellStyle name="60% - Accent4 2" xfId="40" xr:uid="{87DC3A62-D230-46E1-8B4B-E26331547352}"/>
    <cellStyle name="60% - Accent5 2" xfId="41" xr:uid="{1621C78E-E586-44F5-9A29-0EA4FF02715D}"/>
    <cellStyle name="60% - Accent6 2" xfId="42" xr:uid="{8660403D-8D01-4B73-9392-F6A21D5BA8DE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Comma 10" xfId="177" xr:uid="{8D99B701-2D70-4D03-BF91-5395451EF1C0}"/>
    <cellStyle name="Comma 13" xfId="262" xr:uid="{25577F6B-C6E6-4C26-8438-86B2340F15DD}"/>
    <cellStyle name="Comma 18" xfId="1" xr:uid="{7C4C556F-6CAF-4C32-8C5D-36640F3D7CBE}"/>
    <cellStyle name="Comma 2" xfId="43" xr:uid="{7574A868-64BE-426A-947D-F7006118F8A5}"/>
    <cellStyle name="Comma 2 2" xfId="45" xr:uid="{01DD41D7-BE28-4D3F-9447-EA0474021686}"/>
    <cellStyle name="Comma 2 3" xfId="57" xr:uid="{5BC5130A-9243-4E2E-8462-2C4C10F1DEE2}"/>
    <cellStyle name="Comma 2 4" xfId="58" xr:uid="{759B0FFC-826F-4D4A-9025-A8325C996B2C}"/>
    <cellStyle name="Comma 2 5" xfId="59" xr:uid="{91B37B92-2416-45E3-B812-74026A8FE055}"/>
    <cellStyle name="Comma 3" xfId="44" xr:uid="{E2045956-2BD1-429C-9C49-137A058D2BD5}"/>
    <cellStyle name="Comma 36" xfId="261" xr:uid="{F02D304E-B4D3-4BB2-A11C-2E36C32809AF}"/>
    <cellStyle name="Comma 4" xfId="46" xr:uid="{F352C402-8A7C-41F2-A93C-EB70B7668652}"/>
    <cellStyle name="Comma 5" xfId="50" xr:uid="{A835015F-2C44-4082-B6C5-FE10B5578707}"/>
    <cellStyle name="Comma 5 2" xfId="60" xr:uid="{FDEAC640-477C-4CE6-BBBB-7D47FCAD7659}"/>
    <cellStyle name="Comma 6" xfId="56" xr:uid="{39FE4DD4-F939-445E-808B-E33CF8264570}"/>
    <cellStyle name="Comma 7" xfId="66" xr:uid="{DD7012A4-FA63-4139-B0A2-F9DA7C897E2B}"/>
    <cellStyle name="Comma 8" xfId="61" xr:uid="{F0EBCEA1-E0D5-4E46-8B52-950A7A1130BB}"/>
    <cellStyle name="Comma 9" xfId="169" xr:uid="{E2D99E3A-8425-40BB-BB88-04D955D96A4F}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6" xr:uid="{125D9E62-DF4E-42D8-BFF7-4C24AC44A67D}"/>
    <cellStyle name="Normal" xfId="0" builtinId="0"/>
    <cellStyle name="Normal 10" xfId="84" xr:uid="{A6E92745-9CBA-4F83-A161-3D1C6A434983}"/>
    <cellStyle name="Normal 10 2" xfId="230" xr:uid="{431AAB41-724C-4444-AFA5-42BD7437D083}"/>
    <cellStyle name="Normal 11" xfId="72" xr:uid="{2B8CE6D9-6586-4414-918A-FE8FB494A97F}"/>
    <cellStyle name="Normal 12" xfId="73" xr:uid="{4CC0E505-9895-403D-A430-FDEDF506289B}"/>
    <cellStyle name="Normal 13" xfId="74" xr:uid="{401EDB01-30F9-4A56-B485-D03A1FD992BD}"/>
    <cellStyle name="Normal 14" xfId="75" xr:uid="{90CF89C3-3F9B-47D5-99BB-B414727B2BDA}"/>
    <cellStyle name="Normal 15" xfId="76" xr:uid="{E4509828-253D-4DC7-9DBA-3BA914751405}"/>
    <cellStyle name="Normal 16" xfId="77" xr:uid="{C48CAB06-1C17-4720-8478-5BB6EDF1CA57}"/>
    <cellStyle name="Normal 17" xfId="78" xr:uid="{B5C91A81-CFF0-460D-81E0-52AC9A9EE596}"/>
    <cellStyle name="Normal 18" xfId="79" xr:uid="{7E948AD6-894E-4338-B5F6-97C9BA91AE08}"/>
    <cellStyle name="Normal 19" xfId="80" xr:uid="{121270C4-2035-4C63-B944-3A1948B022B5}"/>
    <cellStyle name="Normal 2" xfId="47" xr:uid="{38379C71-BA7B-46EF-BF2A-4137E01FE721}"/>
    <cellStyle name="Normal 2 10" xfId="207" xr:uid="{997CE8E9-B3B2-45ED-8558-DF292005D1C1}"/>
    <cellStyle name="Normal 2 11" xfId="219" xr:uid="{CBB1EEDA-CF31-45CE-986B-35352EC66101}"/>
    <cellStyle name="Normal 2 12" xfId="243" xr:uid="{FBB1599C-CCBE-43AF-8618-79E681282A60}"/>
    <cellStyle name="Normal 2 2" xfId="51" xr:uid="{FCE53DE9-0317-4E19-8A8E-9EADF23E8328}"/>
    <cellStyle name="Normal 2 2 10" xfId="126" xr:uid="{1481576C-8894-4DB1-BC34-4CE8558A40EA}"/>
    <cellStyle name="Normal 2 2 11" xfId="120" xr:uid="{C8D89F61-06BF-493E-B2B9-D9C2FD71486E}"/>
    <cellStyle name="Normal 2 2 12" xfId="125" xr:uid="{CF83C93B-7665-44FD-99AA-E5DDA5377652}"/>
    <cellStyle name="Normal 2 2 13" xfId="116" xr:uid="{5FB2B8BE-F19E-48BA-8991-FD537B13D06A}"/>
    <cellStyle name="Normal 2 2 14" xfId="110" xr:uid="{26CD4938-B98F-449F-95C3-70C2C6F483F3}"/>
    <cellStyle name="Normal 2 2 15" xfId="108" xr:uid="{A554EF98-3DE8-44D5-9123-2B99EA3DD37E}"/>
    <cellStyle name="Normal 2 2 16" xfId="129" xr:uid="{AE5BF3A7-FC6C-4381-ACFB-6A074243DD42}"/>
    <cellStyle name="Normal 2 2 17" xfId="118" xr:uid="{147B64FD-994D-4F46-AD9A-34C5AFE95BE4}"/>
    <cellStyle name="Normal 2 2 18" xfId="124" xr:uid="{C1D4DF7C-1345-4113-AD3C-08CA5967FB70}"/>
    <cellStyle name="Normal 2 2 19" xfId="121" xr:uid="{52D6B0F6-C7D3-486C-8120-9DCE2A1498EB}"/>
    <cellStyle name="Normal 2 2 2" xfId="53" xr:uid="{1442FFDC-97FF-4289-B28B-F02124914D04}"/>
    <cellStyle name="Normal 2 2 2 10" xfId="141" xr:uid="{2D79AE73-E85C-4ED3-BDD2-01ACAA71A5C8}"/>
    <cellStyle name="Normal 2 2 2 11" xfId="144" xr:uid="{0D9433FB-7321-4C78-8322-82A78BDD7F46}"/>
    <cellStyle name="Normal 2 2 2 12" xfId="147" xr:uid="{7FA44C6C-FFF1-4A7E-8EC6-07CB64407522}"/>
    <cellStyle name="Normal 2 2 2 13" xfId="150" xr:uid="{D194924C-DB25-4B8A-A1EA-794263EF21E6}"/>
    <cellStyle name="Normal 2 2 2 14" xfId="153" xr:uid="{3955C8EE-8D2F-4E7B-AD6C-F7A6DE29F6FE}"/>
    <cellStyle name="Normal 2 2 2 15" xfId="155" xr:uid="{4781080C-AC05-4767-A0F6-3D5FA60B1785}"/>
    <cellStyle name="Normal 2 2 2 16" xfId="157" xr:uid="{76D1AC5F-C91E-48E9-9CDB-D7836B4D637D}"/>
    <cellStyle name="Normal 2 2 2 17" xfId="159" xr:uid="{0F43AEC5-4164-4FE7-9E65-B43A531C809B}"/>
    <cellStyle name="Normal 2 2 2 18" xfId="161" xr:uid="{E9BDCA23-8DBD-4D9C-A607-5BAA766BE552}"/>
    <cellStyle name="Normal 2 2 2 19" xfId="163" xr:uid="{294B9A94-D3B3-4F3B-9337-803956EF43AB}"/>
    <cellStyle name="Normal 2 2 2 2" xfId="96" xr:uid="{53CAF031-1109-4EB0-A24E-D7C51AC00E6E}"/>
    <cellStyle name="Normal 2 2 2 2 2" xfId="97" xr:uid="{EEC389A4-B4E2-4AF0-BDA8-5868FD6E8836}"/>
    <cellStyle name="Normal 2 2 2 2 3" xfId="193" xr:uid="{010B0273-0230-490D-B091-5C48A610800F}"/>
    <cellStyle name="Normal 2 2 2 2 4" xfId="202" xr:uid="{A55F1F6D-63C8-4753-9002-7AB041C12DDA}"/>
    <cellStyle name="Normal 2 2 2 2 5" xfId="213" xr:uid="{099E49DD-8471-49D7-8D54-B4B572655249}"/>
    <cellStyle name="Normal 2 2 2 2 6" xfId="249" xr:uid="{648CD20C-38D8-4F59-889B-C37C3594EECE}"/>
    <cellStyle name="Normal 2 2 2 20" xfId="168" xr:uid="{15AA23E5-D5FB-4C9D-AF2D-6AC89D8292CB}"/>
    <cellStyle name="Normal 2 2 2 21" xfId="192" xr:uid="{BDBCB9E0-9352-4A07-97F9-B3A12123E42F}"/>
    <cellStyle name="Normal 2 2 2 22" xfId="203" xr:uid="{68DD9BFF-C9F1-4AEC-9866-52D73D2F9722}"/>
    <cellStyle name="Normal 2 2 2 23" xfId="212" xr:uid="{125E91E4-5293-4AD1-B43C-BD40661F52FA}"/>
    <cellStyle name="Normal 2 2 2 24" xfId="248" xr:uid="{FA292561-3636-43D0-9C69-E044E123F712}"/>
    <cellStyle name="Normal 2 2 2 3" xfId="102" xr:uid="{4FE0522D-786D-4E50-B7CE-13BA3C0F5C5E}"/>
    <cellStyle name="Normal 2 2 2 4" xfId="128" xr:uid="{2A3B6513-97B9-4B5A-A0C8-0571BC4B4306}"/>
    <cellStyle name="Normal 2 2 2 5" xfId="122" xr:uid="{96BCD4A1-9686-43AA-9FF3-850BB127137F}"/>
    <cellStyle name="Normal 2 2 2 6" xfId="107" xr:uid="{D0970A54-F448-40F2-AA19-F338E857AE97}"/>
    <cellStyle name="Normal 2 2 2 7" xfId="132" xr:uid="{55C15B78-8004-44C6-AF21-C3C76D58F71F}"/>
    <cellStyle name="Normal 2 2 2 8" xfId="135" xr:uid="{6A2ED040-066F-4E43-9204-2F39DF3A9FCB}"/>
    <cellStyle name="Normal 2 2 2 9" xfId="138" xr:uid="{9FA13FAC-2004-4744-A31C-07D5F45F67C3}"/>
    <cellStyle name="Normal 2 2 20" xfId="165" xr:uid="{01E2B0BC-B0BE-48F0-A848-24AA13C4D79F}"/>
    <cellStyle name="Normal 2 2 21" xfId="171" xr:uid="{5D391673-9109-4D6A-8B10-CC9EEDB9809A}"/>
    <cellStyle name="Normal 2 2 22" xfId="179" xr:uid="{E1BEA28E-E711-4A4A-AF78-86122F0AE352}"/>
    <cellStyle name="Normal 2 2 23" xfId="189" xr:uid="{FE1385CB-6FF8-4C79-A9AF-0A90C79251C9}"/>
    <cellStyle name="Normal 2 2 24" xfId="206" xr:uid="{8923E3CE-A6EA-4470-B612-E5C8DA23C35B}"/>
    <cellStyle name="Normal 2 2 25" xfId="209" xr:uid="{703686F9-5E09-47EA-86E8-349D4BDA8171}"/>
    <cellStyle name="Normal 2 2 26" xfId="222" xr:uid="{2FC03681-37F5-4100-A0FB-21A2D2FA0AB5}"/>
    <cellStyle name="Normal 2 2 27" xfId="245" xr:uid="{D9C91DE3-39F7-4AF7-BF55-7F3EC085EEBE}"/>
    <cellStyle name="Normal 2 2 3" xfId="68" xr:uid="{C7C50B6C-223A-4D2E-89B3-20A10FD24717}"/>
    <cellStyle name="Normal 2 2 3 2" xfId="99" xr:uid="{6B2B50CD-26D7-46D2-B6D9-B71B7B003705}"/>
    <cellStyle name="Normal 2 2 3 3" xfId="195" xr:uid="{A2D7FF30-B23D-4E8E-A288-C13DA03D494D}"/>
    <cellStyle name="Normal 2 2 3 4" xfId="200" xr:uid="{925D9B6B-E33E-4BAB-992D-CD424A2F9D0E}"/>
    <cellStyle name="Normal 2 2 3 5" xfId="215" xr:uid="{F9EB24F4-15A4-4BE7-880B-DA4D244DA27E}"/>
    <cellStyle name="Normal 2 2 3 6" xfId="251" xr:uid="{82FE412B-65D2-4EA7-82FC-1F3B74642027}"/>
    <cellStyle name="Normal 2 2 4" xfId="93" xr:uid="{C55C3E42-2FFD-4DAA-A54D-CD5A5C56B087}"/>
    <cellStyle name="Normal 2 2 5" xfId="119" xr:uid="{221ED958-B0C1-485B-94D5-8245925680AA}"/>
    <cellStyle name="Normal 2 2 6" xfId="131" xr:uid="{201ADA14-DDE9-4B82-9909-F2B2A53C8BA8}"/>
    <cellStyle name="Normal 2 2 7" xfId="112" xr:uid="{3F01AD15-A932-42BE-83F0-8E2AE6133BDD}"/>
    <cellStyle name="Normal 2 2 8" xfId="123" xr:uid="{5D6AF29E-EDE1-40FB-8B3D-87DD4021943C}"/>
    <cellStyle name="Normal 2 2 9" xfId="117" xr:uid="{9EBE4C5D-9943-4A1F-B6AC-2204DE797BFB}"/>
    <cellStyle name="Normal 2 3" xfId="52" xr:uid="{B4743B23-BB91-4342-B58F-6BA5A9F9554B}"/>
    <cellStyle name="Normal 2 4" xfId="67" xr:uid="{E2E3BB41-0FDC-41B2-87E1-B8FEA2EFD19C}"/>
    <cellStyle name="Normal 2 4 2" xfId="227" xr:uid="{F9264EB0-A9F4-401C-AD66-D0493A95F9CC}"/>
    <cellStyle name="Normal 2 5" xfId="91" xr:uid="{C2E434A2-57E9-4E0D-BE91-EB41B3906EBC}"/>
    <cellStyle name="Normal 2 6" xfId="170" xr:uid="{E41B48F9-56E7-494A-B57B-69C8065E0F85}"/>
    <cellStyle name="Normal 2 6 2" xfId="237" xr:uid="{F186B434-34CD-489C-9174-2A97FA7E2BE3}"/>
    <cellStyle name="Normal 2 7" xfId="178" xr:uid="{89998968-EAE1-489B-9F48-4C9B4D6BFCE3}"/>
    <cellStyle name="Normal 2 8" xfId="187" xr:uid="{D1681A3F-6EAE-4A25-88A7-85709301BA9E}"/>
    <cellStyle name="Normal 2 9" xfId="198" xr:uid="{DDF89487-F941-4C29-9059-5357E19B6F6B}"/>
    <cellStyle name="Normal 20" xfId="81" xr:uid="{DA0665CE-06D9-4DFE-9D9E-C5097414F83C}"/>
    <cellStyle name="Normal 21" xfId="82" xr:uid="{5E221247-0C28-488E-A521-59725CCF9E83}"/>
    <cellStyle name="Normal 22" xfId="85" xr:uid="{F9E7A946-85A7-434C-9C62-18F09CACFECD}"/>
    <cellStyle name="Normal 22 2" xfId="231" xr:uid="{3F8DF4C4-99D2-4FC6-88D6-E983B328FF84}"/>
    <cellStyle name="Normal 23" xfId="86" xr:uid="{B3BE680D-7BD8-4B51-BC41-FABD88A2DBA9}"/>
    <cellStyle name="Normal 23 2" xfId="232" xr:uid="{D9A9C246-84B4-49D8-B9A8-DD36EEFF01F7}"/>
    <cellStyle name="Normal 24" xfId="87" xr:uid="{47BFB083-1630-4EE7-BA4B-F230F1EE7746}"/>
    <cellStyle name="Normal 24 2" xfId="233" xr:uid="{9A6FDC17-E9FF-4A6E-8661-D1F8DC9CC19C}"/>
    <cellStyle name="Normal 25" xfId="88" xr:uid="{F627C905-CD27-41A6-8402-1E8EFF535EA4}"/>
    <cellStyle name="Normal 25 2" xfId="234" xr:uid="{6059B2C5-D441-4910-8705-F8F99ED801C5}"/>
    <cellStyle name="Normal 26" xfId="89" xr:uid="{D4B4E321-9E79-4B90-B781-5B491F952F21}"/>
    <cellStyle name="Normal 26 2" xfId="235" xr:uid="{A67EEFB5-3EDE-4491-A6FB-D61C22D30612}"/>
    <cellStyle name="Normal 27" xfId="90" xr:uid="{A09C2E93-BB04-4CD3-8842-A57BE73FE31A}"/>
    <cellStyle name="Normal 27 2" xfId="236" xr:uid="{43713A57-5325-4B08-BA1F-45A344AABD38}"/>
    <cellStyle name="Normal 28" xfId="185" xr:uid="{582BDAA5-39BC-469C-9049-0F645FF4A85D}"/>
    <cellStyle name="Normal 28 2" xfId="240" xr:uid="{E087D2AD-3BB1-4050-8767-9E148103E5B1}"/>
    <cellStyle name="Normal 29" xfId="186" xr:uid="{82A4E359-0602-4163-93F6-DA83D7D299BF}"/>
    <cellStyle name="Normal 29 2" xfId="241" xr:uid="{B156D967-8278-4F3B-9EDC-F41E72F083C9}"/>
    <cellStyle name="Normal 3" xfId="48" xr:uid="{22AFBAA7-3AAC-4D52-AF2E-297C4B135729}"/>
    <cellStyle name="Normal 3 10" xfId="220" xr:uid="{C43E364A-0F46-40D1-99D7-40AC2C8C9E22}"/>
    <cellStyle name="Normal 3 11" xfId="244" xr:uid="{B896E200-DD84-41AC-8E60-8546341264B8}"/>
    <cellStyle name="Normal 3 2" xfId="54" xr:uid="{06FE30F0-7561-4FB0-B4CE-76BBB404ACEB}"/>
    <cellStyle name="Normal 3 2 10" xfId="103" xr:uid="{AE8160D8-DC61-4ECB-89F7-1B3AA95ECC08}"/>
    <cellStyle name="Normal 3 2 11" xfId="111" xr:uid="{43A975A4-F8C5-41A9-A638-0E0C1D2F9D39}"/>
    <cellStyle name="Normal 3 2 12" xfId="109" xr:uid="{FBE4D7B0-3FD5-47D1-AB55-7DA1D793CDCF}"/>
    <cellStyle name="Normal 3 2 13" xfId="134" xr:uid="{FC6C46A6-DE77-4EF6-AE59-6BA3AF0F4C98}"/>
    <cellStyle name="Normal 3 2 14" xfId="137" xr:uid="{303BFB7E-47C0-4CB5-9302-9BF4F4A021E3}"/>
    <cellStyle name="Normal 3 2 15" xfId="140" xr:uid="{0F48E852-07ED-407B-AE76-260CDAECFB62}"/>
    <cellStyle name="Normal 3 2 16" xfId="143" xr:uid="{7FC331A5-C4E2-48D8-8585-FFA2609987A9}"/>
    <cellStyle name="Normal 3 2 17" xfId="146" xr:uid="{2044837E-2544-4110-96FC-8BAB98941584}"/>
    <cellStyle name="Normal 3 2 18" xfId="149" xr:uid="{45BADFA6-B50B-4B86-8E80-A32782D2B5E7}"/>
    <cellStyle name="Normal 3 2 19" xfId="152" xr:uid="{AAF555FC-8685-450A-B9CF-D3DA420E9118}"/>
    <cellStyle name="Normal 3 2 2" xfId="94" xr:uid="{D342609A-02D8-4AB6-951F-AC46EA4A1314}"/>
    <cellStyle name="Normal 3 2 2 2" xfId="98" xr:uid="{C17C75D6-A505-485F-8A66-453A63299078}"/>
    <cellStyle name="Normal 3 2 2 3" xfId="194" xr:uid="{E57BB106-CE06-4098-A67A-B7060FAE8E58}"/>
    <cellStyle name="Normal 3 2 2 4" xfId="201" xr:uid="{50D607B4-45BE-4D65-BEB6-A174773CD6B0}"/>
    <cellStyle name="Normal 3 2 2 5" xfId="214" xr:uid="{197605A9-3293-4E8F-AD1F-921CE3811853}"/>
    <cellStyle name="Normal 3 2 2 6" xfId="250" xr:uid="{BA78065B-9975-4236-8BD8-6C0A68831641}"/>
    <cellStyle name="Normal 3 2 20" xfId="166" xr:uid="{774EABEE-5568-4BFD-8348-D2A6B2639636}"/>
    <cellStyle name="Normal 3 2 21" xfId="190" xr:uid="{3ACFDB4C-F007-46EB-855B-22EF96ABD4E0}"/>
    <cellStyle name="Normal 3 2 22" xfId="205" xr:uid="{D2BDD308-1ED8-4256-8881-5FF30CD0973D}"/>
    <cellStyle name="Normal 3 2 23" xfId="210" xr:uid="{AEB16CC1-F9A6-4D7F-A181-AB764305C1E1}"/>
    <cellStyle name="Normal 3 2 24" xfId="246" xr:uid="{1D307318-831D-4704-83BE-4A955972B680}"/>
    <cellStyle name="Normal 3 2 3" xfId="100" xr:uid="{388C3346-EA2A-4941-A465-39BDB56F5FCE}"/>
    <cellStyle name="Normal 3 2 4" xfId="127" xr:uid="{8E87D1E3-70F5-4CD4-A903-9897BDB33C20}"/>
    <cellStyle name="Normal 3 2 5" xfId="115" xr:uid="{B88BB42F-E0E8-4109-B85C-4B063DCDB389}"/>
    <cellStyle name="Normal 3 2 6" xfId="106" xr:uid="{BF73F60E-4CF7-4A24-AF3E-C713EC8318B4}"/>
    <cellStyle name="Normal 3 2 7" xfId="130" xr:uid="{DEBC2A9D-BE36-446B-B67D-559212CFC8B5}"/>
    <cellStyle name="Normal 3 2 8" xfId="114" xr:uid="{DF71167C-473F-4CE7-8EFC-477DF4DEF028}"/>
    <cellStyle name="Normal 3 2 9" xfId="104" xr:uid="{B2C4E62D-A499-4E0D-9927-A27A79C00555}"/>
    <cellStyle name="Normal 3 3" xfId="69" xr:uid="{94112752-3B72-4CBB-BB9C-EF5B3ECE09E3}"/>
    <cellStyle name="Normal 3 4" xfId="92" xr:uid="{2E20AB51-E31B-40E7-8D5C-21B24EE5A869}"/>
    <cellStyle name="Normal 3 5" xfId="172" xr:uid="{4344BCC3-3A5B-4437-AE24-52897421FE8C}"/>
    <cellStyle name="Normal 3 6" xfId="180" xr:uid="{B5FE6CD6-7DB4-4C30-9E1A-572E11F2E80E}"/>
    <cellStyle name="Normal 3 7" xfId="188" xr:uid="{0A18D43E-1F89-4EA1-BB54-4E9A301432A6}"/>
    <cellStyle name="Normal 3 8" xfId="199" xr:uid="{69018297-DA09-462B-9846-5CEC7E01AE60}"/>
    <cellStyle name="Normal 3 9" xfId="208" xr:uid="{5DC50C1B-0932-43D3-8347-D44DA261ABC8}"/>
    <cellStyle name="Normal 30" xfId="217" xr:uid="{B954A1B3-3B66-4747-9E21-4150F5B97209}"/>
    <cellStyle name="Normal 31" xfId="218" xr:uid="{A535C3CE-919E-45FD-9930-CCAC4AC0AC07}"/>
    <cellStyle name="Normal 32" xfId="242" xr:uid="{DD86757C-6FBF-4037-912C-6541DC4C6E59}"/>
    <cellStyle name="Normal 33" xfId="253" xr:uid="{421EE870-4E05-4756-9D7B-CF6FEFF32A66}"/>
    <cellStyle name="Normal 34" xfId="254" xr:uid="{A8F775EF-EDC2-45B7-8280-FA8C8919AD29}"/>
    <cellStyle name="Normal 35" xfId="255" xr:uid="{F9FF3C45-305C-4F17-A640-54AF68A2BB8A}"/>
    <cellStyle name="Normal 36" xfId="256" xr:uid="{65DAA63F-8A91-400D-8DDD-C4AD8121C8DF}"/>
    <cellStyle name="Normal 37" xfId="257" xr:uid="{DB90271B-847D-4205-AB4A-40D4B68A7B11}"/>
    <cellStyle name="Normal 38" xfId="258" xr:uid="{5097B744-2BB7-4F6A-9FE2-E4487FD2BCEE}"/>
    <cellStyle name="Normal 39" xfId="259" xr:uid="{E3D58E55-1AD5-46D9-8C07-C31CD11B2D67}"/>
    <cellStyle name="Normal 4" xfId="49" xr:uid="{7F01FDCC-F1AE-43CB-A395-B005F9D03C57}"/>
    <cellStyle name="Normal 4 10" xfId="142" xr:uid="{28D1E3A8-B4A4-43FD-95B5-43F21C303517}"/>
    <cellStyle name="Normal 4 11" xfId="145" xr:uid="{8E28F238-329B-43FC-821C-A2608CEBB4B3}"/>
    <cellStyle name="Normal 4 12" xfId="148" xr:uid="{102667D1-B90F-4278-90F1-6FFABBA986B5}"/>
    <cellStyle name="Normal 4 13" xfId="151" xr:uid="{B190E55B-3FC8-4781-BA5A-ACB7B5D8397D}"/>
    <cellStyle name="Normal 4 14" xfId="154" xr:uid="{2D3F66F0-A52B-474E-9371-F18CECCCA438}"/>
    <cellStyle name="Normal 4 15" xfId="156" xr:uid="{FC506BD4-0E6A-41DD-A20E-E0C2F50C14CC}"/>
    <cellStyle name="Normal 4 16" xfId="158" xr:uid="{F4B50E4F-1D8F-497D-8371-BEEC383609AC}"/>
    <cellStyle name="Normal 4 17" xfId="160" xr:uid="{E411571C-2B86-4085-91FC-2313CAA0348F}"/>
    <cellStyle name="Normal 4 18" xfId="162" xr:uid="{657A45EB-9B51-413A-8F1F-2700BE430716}"/>
    <cellStyle name="Normal 4 19" xfId="164" xr:uid="{AD7BF36A-FA0F-43B5-B242-BBF304443CD2}"/>
    <cellStyle name="Normal 4 2" xfId="55" xr:uid="{FFE5DFB7-B3CC-4EF3-B9A5-600CD17750AD}"/>
    <cellStyle name="Normal 4 20" xfId="167" xr:uid="{137D7A3D-D0BF-414D-B53E-92C117C56C8C}"/>
    <cellStyle name="Normal 4 21" xfId="173" xr:uid="{C10EDA8A-9F86-4815-B288-E436070C64C7}"/>
    <cellStyle name="Normal 4 22" xfId="181" xr:uid="{3D3287D4-4D49-492C-84D0-FBDCE40807C7}"/>
    <cellStyle name="Normal 4 23" xfId="191" xr:uid="{51C1C576-7FC0-4351-84C0-5CCED81AE36B}"/>
    <cellStyle name="Normal 4 24" xfId="204" xr:uid="{296E8196-F41C-4FCD-88C9-F7EFE497A57A}"/>
    <cellStyle name="Normal 4 25" xfId="211" xr:uid="{1148E2DE-6522-47D8-B749-42517958EAC3}"/>
    <cellStyle name="Normal 4 26" xfId="221" xr:uid="{C107CE48-736A-4D03-BFD7-01B1C69C3864}"/>
    <cellStyle name="Normal 4 27" xfId="247" xr:uid="{1CCF95B0-5F95-42B5-BC69-33DC0A8F8697}"/>
    <cellStyle name="Normal 4 3" xfId="70" xr:uid="{8D528532-43D5-431D-B210-C7E658C3ED58}"/>
    <cellStyle name="Normal 4 3 2" xfId="101" xr:uid="{7E46BF0C-CE4C-4685-AEB6-9C650C6E83D7}"/>
    <cellStyle name="Normal 4 3 3" xfId="196" xr:uid="{4314CEF7-103D-4129-B97D-6678EE8CA533}"/>
    <cellStyle name="Normal 4 3 4" xfId="197" xr:uid="{ED33193C-F79F-4CDA-BA10-81A1E4B90FE7}"/>
    <cellStyle name="Normal 4 3 5" xfId="216" xr:uid="{DB6EE57C-9199-4CFB-A0F8-520A2DCE67F1}"/>
    <cellStyle name="Normal 4 3 6" xfId="252" xr:uid="{777F6D30-1916-46DF-8BFA-4D096B3DB9C9}"/>
    <cellStyle name="Normal 4 4" xfId="95" xr:uid="{6D31E3AF-B882-4700-97F3-CF3BB970D96E}"/>
    <cellStyle name="Normal 4 5" xfId="113" xr:uid="{154EEE46-9F53-46A8-82A7-3C6892252CFD}"/>
    <cellStyle name="Normal 4 6" xfId="105" xr:uid="{8708B71D-37C5-4CFD-9391-36162FC0038F}"/>
    <cellStyle name="Normal 4 7" xfId="133" xr:uid="{6A279B95-B430-43B4-8B02-4B66BC8F16B8}"/>
    <cellStyle name="Normal 4 8" xfId="136" xr:uid="{D7EEC434-C4AD-44C8-A257-25985C077147}"/>
    <cellStyle name="Normal 4 9" xfId="139" xr:uid="{CFA5F9A9-F135-498C-B819-5EC983C3E8CF}"/>
    <cellStyle name="Normal 40" xfId="260" xr:uid="{4FC0750B-3D5D-4D3F-9663-F821CED919B7}"/>
    <cellStyle name="Normal 5" xfId="62" xr:uid="{9EC13E5B-A54E-40AA-8C85-A74A07FE2809}"/>
    <cellStyle name="Normal 5 2" xfId="71" xr:uid="{5EE7F640-337A-468C-A877-C3140D976C4C}"/>
    <cellStyle name="Normal 5 2 2" xfId="228" xr:uid="{B9405F66-433E-4DAA-B5F3-41DE00588A9B}"/>
    <cellStyle name="Normal 5 3" xfId="174" xr:uid="{84455483-778D-44BE-8953-949D9EE22245}"/>
    <cellStyle name="Normal 5 3 2" xfId="238" xr:uid="{C5E4069D-9CC3-4494-9E55-7DB871524825}"/>
    <cellStyle name="Normal 5 4" xfId="182" xr:uid="{CB33E641-62AB-416E-A1B0-FB74CACE6DC8}"/>
    <cellStyle name="Normal 5 5" xfId="223" xr:uid="{2A0CBE09-6BA7-4FF3-938F-7EB582ACB658}"/>
    <cellStyle name="Normal 6" xfId="63" xr:uid="{BFF19DED-AA24-440B-A3B2-2ECF82B287E3}"/>
    <cellStyle name="Normal 6 2" xfId="175" xr:uid="{BAFD269C-C11B-4421-9122-33636950CB0D}"/>
    <cellStyle name="Normal 6 2 2" xfId="239" xr:uid="{94BEC128-4EC5-422D-8121-A927C6B3315E}"/>
    <cellStyle name="Normal 6 3" xfId="183" xr:uid="{020B745A-A087-498D-BF84-38BE726A1E86}"/>
    <cellStyle name="Normal 6 4" xfId="224" xr:uid="{B4B69F6B-5649-4965-9059-88DF67DA0F4D}"/>
    <cellStyle name="Normal 7" xfId="64" xr:uid="{A4F0AC63-CC08-4244-8655-7045459FD7F1}"/>
    <cellStyle name="Normal 7 2" xfId="176" xr:uid="{F7CB26A6-DB4F-479E-9377-7304B6947B06}"/>
    <cellStyle name="Normal 7 3" xfId="184" xr:uid="{97411C1D-9E04-446D-86B7-05EBD46E72F8}"/>
    <cellStyle name="Normal 7 4" xfId="225" xr:uid="{4944EEE5-9F9D-49FA-92B3-D7FB8F6B37BF}"/>
    <cellStyle name="Normal 8" xfId="65" xr:uid="{A44BD8F8-AA1E-4700-AC51-21EB4898F2AC}"/>
    <cellStyle name="Normal 8 2" xfId="226" xr:uid="{D872C9FB-E377-4AD0-8F11-9D6383EF2E95}"/>
    <cellStyle name="Normal 9" xfId="83" xr:uid="{FEB790B8-5123-4FD0-9261-C892F06260DB}"/>
    <cellStyle name="Normal 9 2" xfId="229" xr:uid="{C82687FC-BCE7-4674-A4F1-5DC38725E6E2}"/>
    <cellStyle name="Note" xfId="14" builtinId="10" customBuiltin="1"/>
    <cellStyle name="Output" xfId="9" builtinId="21" customBuiltin="1"/>
    <cellStyle name="Title 2" xfId="35" xr:uid="{D845D8C6-8506-4906-B414-363EF38772DD}"/>
    <cellStyle name="Total" xfId="16" builtinId="25" customBuiltin="1"/>
    <cellStyle name="Warning Text" xfId="13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24E4E-FDA9-43D3-9D79-CA72613D68A1}">
  <dimension ref="A1:O23"/>
  <sheetViews>
    <sheetView topLeftCell="A4" zoomScaleNormal="100" workbookViewId="0">
      <selection activeCell="J4" sqref="J4"/>
    </sheetView>
  </sheetViews>
  <sheetFormatPr defaultRowHeight="14.4" x14ac:dyDescent="0.3"/>
  <cols>
    <col min="1" max="1" width="6.44140625" customWidth="1"/>
    <col min="2" max="2" width="19" customWidth="1"/>
    <col min="3" max="3" width="12.109375" customWidth="1"/>
    <col min="4" max="4" width="13.44140625" customWidth="1"/>
    <col min="5" max="5" width="12.109375" customWidth="1"/>
    <col min="6" max="6" width="11.44140625" customWidth="1"/>
    <col min="7" max="8" width="18" customWidth="1"/>
    <col min="9" max="9" width="13.33203125" customWidth="1"/>
    <col min="10" max="10" width="15.33203125" customWidth="1"/>
    <col min="12" max="12" width="10.6640625" customWidth="1"/>
    <col min="13" max="13" width="9.109375" customWidth="1"/>
    <col min="14" max="14" width="11" customWidth="1"/>
  </cols>
  <sheetData>
    <row r="1" spans="1:15" ht="21" x14ac:dyDescent="0.4">
      <c r="A1" s="48" t="s">
        <v>41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5" ht="18" x14ac:dyDescent="0.3">
      <c r="A2" s="47" t="s">
        <v>0</v>
      </c>
      <c r="B2" s="49" t="s">
        <v>1</v>
      </c>
      <c r="C2" s="50" t="s">
        <v>2</v>
      </c>
      <c r="D2" s="50" t="s">
        <v>42</v>
      </c>
      <c r="E2" s="47" t="s">
        <v>35</v>
      </c>
      <c r="F2" s="51" t="s">
        <v>26</v>
      </c>
      <c r="G2" s="52" t="s">
        <v>28</v>
      </c>
      <c r="H2" s="52" t="s">
        <v>37</v>
      </c>
      <c r="I2" s="51" t="s">
        <v>27</v>
      </c>
      <c r="J2" s="51" t="s">
        <v>3</v>
      </c>
      <c r="K2" s="47" t="s">
        <v>4</v>
      </c>
      <c r="L2" s="47"/>
      <c r="M2" s="47" t="s">
        <v>36</v>
      </c>
      <c r="N2" s="47"/>
    </row>
    <row r="3" spans="1:15" ht="81" customHeight="1" x14ac:dyDescent="0.3">
      <c r="A3" s="47"/>
      <c r="B3" s="49"/>
      <c r="C3" s="50"/>
      <c r="D3" s="50"/>
      <c r="E3" s="47"/>
      <c r="F3" s="51"/>
      <c r="G3" s="52"/>
      <c r="H3" s="52"/>
      <c r="I3" s="51"/>
      <c r="J3" s="51"/>
      <c r="K3" s="18" t="s">
        <v>5</v>
      </c>
      <c r="L3" s="17" t="s">
        <v>43</v>
      </c>
      <c r="M3" s="18" t="s">
        <v>5</v>
      </c>
      <c r="N3" s="17" t="s">
        <v>43</v>
      </c>
    </row>
    <row r="4" spans="1:15" ht="15.6" x14ac:dyDescent="0.3">
      <c r="A4" s="1">
        <v>1</v>
      </c>
      <c r="B4" s="13" t="s">
        <v>6</v>
      </c>
      <c r="C4" s="11">
        <v>1213</v>
      </c>
      <c r="D4" s="12">
        <f>(C4/12)*7</f>
        <v>707.58333333333326</v>
      </c>
      <c r="E4" s="34">
        <v>302.97199999999998</v>
      </c>
      <c r="F4" s="34">
        <v>324.20999999999998</v>
      </c>
      <c r="G4" s="34">
        <f>26.95-3.6</f>
        <v>23.349999999999998</v>
      </c>
      <c r="H4" s="34">
        <v>6.2200000000000006</v>
      </c>
      <c r="I4" s="12">
        <f>F4+H4</f>
        <v>330.43</v>
      </c>
      <c r="J4" s="35">
        <f>I4/D4</f>
        <v>0.46698386526910851</v>
      </c>
      <c r="K4" s="2">
        <v>2</v>
      </c>
      <c r="L4" s="2">
        <v>0</v>
      </c>
      <c r="M4" s="43">
        <v>3</v>
      </c>
      <c r="N4" s="36">
        <v>2</v>
      </c>
    </row>
    <row r="5" spans="1:15" ht="15.6" x14ac:dyDescent="0.3">
      <c r="A5" s="1">
        <v>2</v>
      </c>
      <c r="B5" s="13" t="s">
        <v>7</v>
      </c>
      <c r="C5" s="6">
        <v>286</v>
      </c>
      <c r="D5" s="12">
        <f t="shared" ref="D5:D22" si="0">(C5/12)*7</f>
        <v>166.83333333333331</v>
      </c>
      <c r="E5" s="34">
        <v>9.7751599999999996</v>
      </c>
      <c r="F5" s="10">
        <v>10.199999999999999</v>
      </c>
      <c r="G5" s="34">
        <v>12.46</v>
      </c>
      <c r="H5" s="34">
        <v>10.35</v>
      </c>
      <c r="I5" s="12">
        <f t="shared" ref="I5:I22" si="1">F5+H5</f>
        <v>20.549999999999997</v>
      </c>
      <c r="J5" s="35">
        <f t="shared" ref="J5:J22" si="2">I5/D5</f>
        <v>0.12317682317682317</v>
      </c>
      <c r="K5" s="2">
        <v>0</v>
      </c>
      <c r="L5" s="2">
        <v>0</v>
      </c>
      <c r="M5" s="43">
        <v>2</v>
      </c>
      <c r="N5" s="36">
        <v>1</v>
      </c>
    </row>
    <row r="6" spans="1:15" ht="15.6" x14ac:dyDescent="0.3">
      <c r="A6" s="1">
        <v>3</v>
      </c>
      <c r="B6" s="14" t="s">
        <v>8</v>
      </c>
      <c r="C6" s="6">
        <v>449</v>
      </c>
      <c r="D6" s="12">
        <f t="shared" si="0"/>
        <v>261.91666666666663</v>
      </c>
      <c r="E6" s="34">
        <v>32.665599999999998</v>
      </c>
      <c r="F6" s="10">
        <v>38.85</v>
      </c>
      <c r="G6" s="34">
        <v>17.600000000000001</v>
      </c>
      <c r="H6" s="34">
        <v>5.6</v>
      </c>
      <c r="I6" s="12">
        <f t="shared" si="1"/>
        <v>44.45</v>
      </c>
      <c r="J6" s="35">
        <f t="shared" si="2"/>
        <v>0.16971046770601339</v>
      </c>
      <c r="K6" s="2">
        <v>2</v>
      </c>
      <c r="L6" s="2">
        <v>2</v>
      </c>
      <c r="M6" s="43">
        <v>2</v>
      </c>
      <c r="N6" s="36">
        <v>0</v>
      </c>
    </row>
    <row r="7" spans="1:15" ht="15.6" x14ac:dyDescent="0.3">
      <c r="A7" s="1">
        <v>4</v>
      </c>
      <c r="B7" s="15" t="s">
        <v>9</v>
      </c>
      <c r="C7" s="6">
        <v>147</v>
      </c>
      <c r="D7" s="12">
        <f t="shared" si="0"/>
        <v>85.75</v>
      </c>
      <c r="E7" s="34">
        <v>19.84347</v>
      </c>
      <c r="F7" s="10">
        <v>18.920000000000002</v>
      </c>
      <c r="G7" s="34">
        <f>9.42-1.94</f>
        <v>7.48</v>
      </c>
      <c r="H7" s="34">
        <v>3.29</v>
      </c>
      <c r="I7" s="12">
        <f t="shared" si="1"/>
        <v>22.21</v>
      </c>
      <c r="J7" s="35">
        <f t="shared" si="2"/>
        <v>0.25900874635568516</v>
      </c>
      <c r="K7" s="2">
        <v>1</v>
      </c>
      <c r="L7" s="2">
        <v>1</v>
      </c>
      <c r="M7" s="43">
        <v>2</v>
      </c>
      <c r="N7" s="36">
        <v>0</v>
      </c>
    </row>
    <row r="8" spans="1:15" ht="15.6" x14ac:dyDescent="0.3">
      <c r="A8" s="1">
        <v>5</v>
      </c>
      <c r="B8" s="14" t="s">
        <v>10</v>
      </c>
      <c r="C8" s="6">
        <v>607</v>
      </c>
      <c r="D8" s="12">
        <f t="shared" si="0"/>
        <v>354.08333333333337</v>
      </c>
      <c r="E8" s="34">
        <v>154.91502959999997</v>
      </c>
      <c r="F8" s="10">
        <v>146.75</v>
      </c>
      <c r="G8" s="34">
        <f>4.5-6.78</f>
        <v>-2.2800000000000002</v>
      </c>
      <c r="H8" s="34">
        <v>-4.42</v>
      </c>
      <c r="I8" s="12">
        <f t="shared" si="1"/>
        <v>142.33000000000001</v>
      </c>
      <c r="J8" s="35">
        <f t="shared" si="2"/>
        <v>0.4019675217698282</v>
      </c>
      <c r="K8" s="2">
        <v>5</v>
      </c>
      <c r="L8" s="2">
        <v>1</v>
      </c>
      <c r="M8" s="43">
        <v>1</v>
      </c>
      <c r="N8" s="36">
        <v>0</v>
      </c>
    </row>
    <row r="9" spans="1:15" ht="15.6" x14ac:dyDescent="0.3">
      <c r="A9" s="1">
        <v>6</v>
      </c>
      <c r="B9" s="14" t="s">
        <v>11</v>
      </c>
      <c r="C9" s="6">
        <v>279</v>
      </c>
      <c r="D9" s="12">
        <f t="shared" si="0"/>
        <v>162.75</v>
      </c>
      <c r="E9" s="34">
        <v>23.199000000000002</v>
      </c>
      <c r="F9" s="10">
        <v>21.94</v>
      </c>
      <c r="G9" s="34">
        <v>25.5</v>
      </c>
      <c r="H9" s="34">
        <v>5.99</v>
      </c>
      <c r="I9" s="12">
        <f t="shared" si="1"/>
        <v>27.93</v>
      </c>
      <c r="J9" s="35">
        <f t="shared" si="2"/>
        <v>0.17161290322580644</v>
      </c>
      <c r="K9" s="2">
        <v>2</v>
      </c>
      <c r="L9" s="2">
        <v>1</v>
      </c>
      <c r="M9" s="43">
        <v>2</v>
      </c>
      <c r="N9" s="36">
        <v>2</v>
      </c>
    </row>
    <row r="10" spans="1:15" ht="15.6" x14ac:dyDescent="0.3">
      <c r="A10" s="5">
        <v>7</v>
      </c>
      <c r="B10" s="16" t="s">
        <v>12</v>
      </c>
      <c r="C10" s="9">
        <v>847</v>
      </c>
      <c r="D10" s="12">
        <f t="shared" si="0"/>
        <v>494.08333333333331</v>
      </c>
      <c r="E10" s="34">
        <v>142.04838999999998</v>
      </c>
      <c r="F10" s="10">
        <v>142.76</v>
      </c>
      <c r="G10" s="34">
        <f>23.49-12.96</f>
        <v>10.529999999999998</v>
      </c>
      <c r="H10" s="34">
        <v>-6.8100000000000005</v>
      </c>
      <c r="I10" s="12">
        <f t="shared" si="1"/>
        <v>135.94999999999999</v>
      </c>
      <c r="J10" s="35">
        <f t="shared" si="2"/>
        <v>0.27515601281835045</v>
      </c>
      <c r="K10" s="2">
        <v>4</v>
      </c>
      <c r="L10" s="2">
        <v>3</v>
      </c>
      <c r="M10" s="43">
        <v>2</v>
      </c>
      <c r="N10" s="36">
        <v>3</v>
      </c>
    </row>
    <row r="11" spans="1:15" ht="15.6" x14ac:dyDescent="0.3">
      <c r="A11" s="1">
        <v>8</v>
      </c>
      <c r="B11" s="14" t="s">
        <v>13</v>
      </c>
      <c r="C11" s="6">
        <v>274</v>
      </c>
      <c r="D11" s="12">
        <f t="shared" si="0"/>
        <v>159.83333333333331</v>
      </c>
      <c r="E11" s="34">
        <v>35.46</v>
      </c>
      <c r="F11" s="10">
        <v>35.46</v>
      </c>
      <c r="G11" s="34">
        <f>12.28-0.54</f>
        <v>11.739999999999998</v>
      </c>
      <c r="H11" s="34">
        <v>5.7299999999999995</v>
      </c>
      <c r="I11" s="12">
        <f t="shared" si="1"/>
        <v>41.19</v>
      </c>
      <c r="J11" s="35">
        <f t="shared" si="2"/>
        <v>0.25770594369134514</v>
      </c>
      <c r="K11" s="2">
        <v>7</v>
      </c>
      <c r="L11" s="2">
        <v>4</v>
      </c>
      <c r="M11" s="43">
        <v>1</v>
      </c>
      <c r="N11" s="36">
        <v>0</v>
      </c>
    </row>
    <row r="12" spans="1:15" ht="15.6" x14ac:dyDescent="0.3">
      <c r="A12" s="1">
        <v>9</v>
      </c>
      <c r="B12" s="19" t="s">
        <v>14</v>
      </c>
      <c r="C12" s="6">
        <v>334</v>
      </c>
      <c r="D12" s="12">
        <f t="shared" si="0"/>
        <v>194.83333333333331</v>
      </c>
      <c r="E12" s="34">
        <v>40.607500000000002</v>
      </c>
      <c r="F12" s="10">
        <v>38.5</v>
      </c>
      <c r="G12" s="34">
        <f>27.32-4.86</f>
        <v>22.46</v>
      </c>
      <c r="H12" s="34">
        <v>0.89999999999999947</v>
      </c>
      <c r="I12" s="12">
        <f t="shared" si="1"/>
        <v>39.4</v>
      </c>
      <c r="J12" s="35">
        <f t="shared" si="2"/>
        <v>0.20222412318220703</v>
      </c>
      <c r="K12" s="2">
        <v>1</v>
      </c>
      <c r="L12" s="4">
        <v>0</v>
      </c>
      <c r="M12" s="43">
        <v>3</v>
      </c>
      <c r="N12" s="36">
        <v>3</v>
      </c>
    </row>
    <row r="13" spans="1:15" ht="15.6" x14ac:dyDescent="0.3">
      <c r="A13" s="1">
        <v>10</v>
      </c>
      <c r="B13" s="19" t="s">
        <v>15</v>
      </c>
      <c r="C13" s="6">
        <v>675</v>
      </c>
      <c r="D13" s="12">
        <f t="shared" si="0"/>
        <v>393.75</v>
      </c>
      <c r="E13" s="34">
        <v>75.958560000000006</v>
      </c>
      <c r="F13" s="10">
        <v>81.69</v>
      </c>
      <c r="G13" s="34">
        <f>24.84-4.84</f>
        <v>20</v>
      </c>
      <c r="H13" s="34">
        <v>0.12000000000000011</v>
      </c>
      <c r="I13" s="12">
        <f t="shared" si="1"/>
        <v>81.81</v>
      </c>
      <c r="J13" s="35">
        <f t="shared" si="2"/>
        <v>0.20777142857142858</v>
      </c>
      <c r="K13" s="2">
        <v>0</v>
      </c>
      <c r="L13" s="2">
        <v>0</v>
      </c>
      <c r="M13" s="43">
        <v>1</v>
      </c>
      <c r="N13" s="36">
        <v>2</v>
      </c>
    </row>
    <row r="14" spans="1:15" ht="15.6" x14ac:dyDescent="0.3">
      <c r="A14" s="1">
        <v>11</v>
      </c>
      <c r="B14" s="14" t="s">
        <v>16</v>
      </c>
      <c r="C14" s="6">
        <v>278</v>
      </c>
      <c r="D14" s="12">
        <f t="shared" si="0"/>
        <v>162.16666666666669</v>
      </c>
      <c r="E14" s="34">
        <v>22.526899999999998</v>
      </c>
      <c r="F14" s="10">
        <v>27.79</v>
      </c>
      <c r="G14" s="34">
        <f>10.5-0.82</f>
        <v>9.68</v>
      </c>
      <c r="H14" s="34">
        <v>9.5800000000000018</v>
      </c>
      <c r="I14" s="12">
        <f t="shared" si="1"/>
        <v>37.370000000000005</v>
      </c>
      <c r="J14" s="35">
        <f t="shared" si="2"/>
        <v>0.23044193216855088</v>
      </c>
      <c r="K14" s="2">
        <v>1</v>
      </c>
      <c r="L14" s="2">
        <v>1</v>
      </c>
      <c r="M14" s="43">
        <v>2</v>
      </c>
      <c r="N14" s="36">
        <v>0</v>
      </c>
    </row>
    <row r="15" spans="1:15" ht="15.6" x14ac:dyDescent="0.3">
      <c r="A15" s="1">
        <v>12</v>
      </c>
      <c r="B15" s="14" t="s">
        <v>17</v>
      </c>
      <c r="C15" s="6">
        <v>328</v>
      </c>
      <c r="D15" s="12">
        <f t="shared" si="0"/>
        <v>191.33333333333331</v>
      </c>
      <c r="E15" s="34">
        <v>97.36999999999999</v>
      </c>
      <c r="F15" s="10">
        <v>105.51</v>
      </c>
      <c r="G15" s="34">
        <f>11.99-1.26</f>
        <v>10.73</v>
      </c>
      <c r="H15" s="34">
        <v>-1.1000000000000001</v>
      </c>
      <c r="I15" s="12">
        <f t="shared" si="1"/>
        <v>104.41000000000001</v>
      </c>
      <c r="J15" s="35">
        <f t="shared" si="2"/>
        <v>0.54569686411149831</v>
      </c>
      <c r="K15" s="2">
        <v>3</v>
      </c>
      <c r="L15" s="2">
        <v>2</v>
      </c>
      <c r="M15" s="43">
        <v>2</v>
      </c>
      <c r="N15" s="36">
        <v>1</v>
      </c>
    </row>
    <row r="16" spans="1:15" ht="15.6" x14ac:dyDescent="0.3">
      <c r="A16" s="1">
        <v>13</v>
      </c>
      <c r="B16" s="14" t="s">
        <v>18</v>
      </c>
      <c r="C16" s="6">
        <v>522</v>
      </c>
      <c r="D16" s="12">
        <f t="shared" si="0"/>
        <v>304.5</v>
      </c>
      <c r="E16" s="34">
        <v>15.29</v>
      </c>
      <c r="F16" s="10">
        <v>73.48</v>
      </c>
      <c r="G16" s="34">
        <v>0</v>
      </c>
      <c r="H16" s="34">
        <v>0</v>
      </c>
      <c r="I16" s="12">
        <f t="shared" si="1"/>
        <v>73.48</v>
      </c>
      <c r="J16" s="35">
        <f t="shared" si="2"/>
        <v>0.24131362889983582</v>
      </c>
      <c r="K16" s="2">
        <v>2</v>
      </c>
      <c r="L16" s="2">
        <v>2</v>
      </c>
      <c r="M16" s="43">
        <v>1</v>
      </c>
      <c r="N16" s="36">
        <v>0</v>
      </c>
      <c r="O16" s="44"/>
    </row>
    <row r="17" spans="1:14" ht="15.6" x14ac:dyDescent="0.3">
      <c r="A17" s="1">
        <v>14</v>
      </c>
      <c r="B17" s="14" t="s">
        <v>19</v>
      </c>
      <c r="C17" s="11">
        <v>359</v>
      </c>
      <c r="D17" s="12">
        <f t="shared" si="0"/>
        <v>209.41666666666669</v>
      </c>
      <c r="E17" s="34">
        <v>76.05</v>
      </c>
      <c r="F17" s="34">
        <f>75.91+11.02</f>
        <v>86.929999999999993</v>
      </c>
      <c r="G17" s="34">
        <v>0</v>
      </c>
      <c r="H17" s="34">
        <v>-1.2</v>
      </c>
      <c r="I17" s="12">
        <f t="shared" si="1"/>
        <v>85.72999999999999</v>
      </c>
      <c r="J17" s="35">
        <f t="shared" si="2"/>
        <v>0.40937524870672493</v>
      </c>
      <c r="K17" s="2">
        <v>5</v>
      </c>
      <c r="L17" s="2">
        <v>5</v>
      </c>
      <c r="M17" s="43">
        <v>2</v>
      </c>
      <c r="N17" s="36">
        <v>0</v>
      </c>
    </row>
    <row r="18" spans="1:14" ht="31.2" x14ac:dyDescent="0.3">
      <c r="A18" s="1">
        <v>15</v>
      </c>
      <c r="B18" s="14" t="s">
        <v>20</v>
      </c>
      <c r="C18" s="11">
        <v>316</v>
      </c>
      <c r="D18" s="12">
        <f t="shared" si="0"/>
        <v>184.33333333333331</v>
      </c>
      <c r="E18" s="34">
        <v>87.08</v>
      </c>
      <c r="F18" s="34">
        <v>179.5</v>
      </c>
      <c r="G18" s="34">
        <v>-12.67</v>
      </c>
      <c r="H18" s="34">
        <v>-12.41</v>
      </c>
      <c r="I18" s="12">
        <f t="shared" si="1"/>
        <v>167.09</v>
      </c>
      <c r="J18" s="35">
        <f t="shared" si="2"/>
        <v>0.90645569620253175</v>
      </c>
      <c r="K18" s="8" t="s">
        <v>30</v>
      </c>
      <c r="L18" s="8" t="s">
        <v>30</v>
      </c>
      <c r="M18" s="2">
        <v>0</v>
      </c>
      <c r="N18" s="46">
        <v>0</v>
      </c>
    </row>
    <row r="19" spans="1:14" ht="31.2" x14ac:dyDescent="0.3">
      <c r="A19" s="1">
        <v>16</v>
      </c>
      <c r="B19" s="14" t="s">
        <v>21</v>
      </c>
      <c r="C19" s="11">
        <v>466</v>
      </c>
      <c r="D19" s="12">
        <f t="shared" si="0"/>
        <v>271.83333333333337</v>
      </c>
      <c r="E19" s="34">
        <v>200.61</v>
      </c>
      <c r="F19" s="34">
        <v>246.08</v>
      </c>
      <c r="G19" s="45">
        <v>0</v>
      </c>
      <c r="H19" s="34">
        <v>0</v>
      </c>
      <c r="I19" s="12">
        <f t="shared" si="1"/>
        <v>246.08</v>
      </c>
      <c r="J19" s="35">
        <f t="shared" si="2"/>
        <v>0.90526057633353763</v>
      </c>
      <c r="K19" s="11">
        <v>4</v>
      </c>
      <c r="L19" s="11">
        <v>2</v>
      </c>
      <c r="M19" s="2">
        <v>1</v>
      </c>
      <c r="N19" s="46">
        <v>0</v>
      </c>
    </row>
    <row r="20" spans="1:14" ht="15.6" x14ac:dyDescent="0.3">
      <c r="A20" s="1">
        <v>17</v>
      </c>
      <c r="B20" s="13" t="s">
        <v>22</v>
      </c>
      <c r="C20" s="11">
        <v>559</v>
      </c>
      <c r="D20" s="12">
        <f t="shared" si="0"/>
        <v>326.08333333333337</v>
      </c>
      <c r="E20" s="34">
        <v>214.88</v>
      </c>
      <c r="F20" s="10">
        <v>214.87</v>
      </c>
      <c r="G20" s="34">
        <v>-14.96</v>
      </c>
      <c r="H20" s="34">
        <v>-14.940000000000003</v>
      </c>
      <c r="I20" s="12">
        <f t="shared" si="1"/>
        <v>199.93</v>
      </c>
      <c r="J20" s="35">
        <f t="shared" si="2"/>
        <v>0.61312547917199078</v>
      </c>
      <c r="K20" s="11">
        <v>3</v>
      </c>
      <c r="L20" s="11">
        <v>1</v>
      </c>
      <c r="M20" s="2">
        <v>1</v>
      </c>
      <c r="N20" s="46">
        <v>1</v>
      </c>
    </row>
    <row r="21" spans="1:14" ht="31.2" x14ac:dyDescent="0.3">
      <c r="A21" s="1">
        <v>18</v>
      </c>
      <c r="B21" s="14" t="s">
        <v>23</v>
      </c>
      <c r="C21" s="11">
        <v>730</v>
      </c>
      <c r="D21" s="12">
        <f t="shared" si="0"/>
        <v>425.83333333333337</v>
      </c>
      <c r="E21" s="34">
        <v>214.45</v>
      </c>
      <c r="F21" s="34">
        <v>216.12</v>
      </c>
      <c r="G21" s="34">
        <v>-6</v>
      </c>
      <c r="H21" s="34">
        <v>-6</v>
      </c>
      <c r="I21" s="12">
        <f t="shared" si="1"/>
        <v>210.12</v>
      </c>
      <c r="J21" s="35">
        <f t="shared" si="2"/>
        <v>0.49343248532289624</v>
      </c>
      <c r="K21" s="8">
        <v>1</v>
      </c>
      <c r="L21" s="8">
        <v>1</v>
      </c>
      <c r="M21" s="2">
        <v>1</v>
      </c>
      <c r="N21" s="46">
        <v>0</v>
      </c>
    </row>
    <row r="22" spans="1:14" ht="31.2" x14ac:dyDescent="0.3">
      <c r="A22" s="1">
        <v>19</v>
      </c>
      <c r="B22" s="14" t="s">
        <v>24</v>
      </c>
      <c r="C22" s="11">
        <v>213</v>
      </c>
      <c r="D22" s="12">
        <f t="shared" si="0"/>
        <v>124.25</v>
      </c>
      <c r="E22" s="12">
        <v>100.68</v>
      </c>
      <c r="F22" s="12">
        <v>100.68</v>
      </c>
      <c r="G22" s="34">
        <v>-0.9</v>
      </c>
      <c r="H22" s="34">
        <v>-0.9</v>
      </c>
      <c r="I22" s="12">
        <f t="shared" si="1"/>
        <v>99.78</v>
      </c>
      <c r="J22" s="35">
        <f t="shared" si="2"/>
        <v>0.80305835010060367</v>
      </c>
      <c r="K22" s="8">
        <v>5</v>
      </c>
      <c r="L22" s="8">
        <v>5</v>
      </c>
      <c r="M22" s="2">
        <v>0</v>
      </c>
      <c r="N22" s="46">
        <v>0</v>
      </c>
    </row>
    <row r="23" spans="1:14" ht="18" x14ac:dyDescent="0.3">
      <c r="A23" s="37" t="s">
        <v>25</v>
      </c>
      <c r="B23" s="37"/>
      <c r="C23" s="3">
        <f>SUM(C4:C22)</f>
        <v>8882</v>
      </c>
      <c r="D23" s="20">
        <f>SUM(D4:D22)</f>
        <v>5181.1666666666661</v>
      </c>
      <c r="E23" s="3"/>
      <c r="F23" s="20">
        <f>SUM(F4:F22)</f>
        <v>2110.2399999999998</v>
      </c>
      <c r="G23" s="38"/>
      <c r="H23" s="38"/>
      <c r="I23" s="39">
        <f>SUM(I4:I22)</f>
        <v>2110.2400000000002</v>
      </c>
      <c r="J23" s="40">
        <f>I23/D23</f>
        <v>0.40729050728600391</v>
      </c>
      <c r="K23" s="3">
        <f>SUM(K4:K22)</f>
        <v>48</v>
      </c>
      <c r="L23" s="3">
        <f>SUM(L4:L22)</f>
        <v>31</v>
      </c>
      <c r="M23" s="3">
        <f>SUM(M4:M22)</f>
        <v>29</v>
      </c>
      <c r="N23" s="3">
        <f>SUM(N4:N22)</f>
        <v>15</v>
      </c>
    </row>
  </sheetData>
  <mergeCells count="13">
    <mergeCell ref="M2:N2"/>
    <mergeCell ref="A1:N1"/>
    <mergeCell ref="A2:A3"/>
    <mergeCell ref="B2:B3"/>
    <mergeCell ref="C2:C3"/>
    <mergeCell ref="F2:F3"/>
    <mergeCell ref="I2:I3"/>
    <mergeCell ref="J2:J3"/>
    <mergeCell ref="K2:L2"/>
    <mergeCell ref="G2:G3"/>
    <mergeCell ref="D2:D3"/>
    <mergeCell ref="E2:E3"/>
    <mergeCell ref="H2:H3"/>
  </mergeCells>
  <pageMargins left="0.70866141732283472" right="0.70866141732283472" top="0.74803149606299213" bottom="0.74803149606299213" header="0.31496062992125984" footer="0.31496062992125984"/>
  <pageSetup scale="6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1A28-379F-4C7E-83B4-E80DC2A19BEA}">
  <dimension ref="A1:L23"/>
  <sheetViews>
    <sheetView view="pageBreakPreview" zoomScale="85" zoomScaleNormal="100" zoomScaleSheetLayoutView="85" workbookViewId="0">
      <selection sqref="A1:L1"/>
    </sheetView>
  </sheetViews>
  <sheetFormatPr defaultRowHeight="14.4" x14ac:dyDescent="0.3"/>
  <cols>
    <col min="1" max="1" width="6.44140625" customWidth="1"/>
    <col min="2" max="3" width="17.5546875" customWidth="1"/>
    <col min="4" max="4" width="13.6640625" customWidth="1"/>
    <col min="5" max="5" width="12.33203125" customWidth="1"/>
    <col min="6" max="6" width="18.109375" customWidth="1"/>
    <col min="7" max="7" width="12.33203125" customWidth="1"/>
    <col min="8" max="8" width="12.109375" customWidth="1"/>
    <col min="10" max="10" width="13.5546875" customWidth="1"/>
    <col min="12" max="12" width="14.44140625" customWidth="1"/>
  </cols>
  <sheetData>
    <row r="1" spans="1:12" ht="21" x14ac:dyDescent="0.4">
      <c r="A1" s="48" t="s">
        <v>41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18.75" customHeight="1" x14ac:dyDescent="0.3">
      <c r="A2" s="47" t="s">
        <v>0</v>
      </c>
      <c r="B2" s="49" t="s">
        <v>1</v>
      </c>
      <c r="C2" s="50" t="s">
        <v>2</v>
      </c>
      <c r="D2" s="50" t="s">
        <v>42</v>
      </c>
      <c r="E2" s="51" t="s">
        <v>26</v>
      </c>
      <c r="F2" s="52" t="s">
        <v>28</v>
      </c>
      <c r="G2" s="53" t="s">
        <v>38</v>
      </c>
      <c r="H2" s="51" t="s">
        <v>44</v>
      </c>
      <c r="I2" s="47" t="s">
        <v>4</v>
      </c>
      <c r="J2" s="47"/>
      <c r="K2" s="47" t="s">
        <v>36</v>
      </c>
      <c r="L2" s="47"/>
    </row>
    <row r="3" spans="1:12" ht="72" x14ac:dyDescent="0.3">
      <c r="A3" s="47"/>
      <c r="B3" s="49"/>
      <c r="C3" s="50"/>
      <c r="D3" s="50"/>
      <c r="E3" s="51"/>
      <c r="F3" s="52"/>
      <c r="G3" s="54"/>
      <c r="H3" s="51"/>
      <c r="I3" s="18" t="s">
        <v>5</v>
      </c>
      <c r="J3" s="17" t="s">
        <v>40</v>
      </c>
      <c r="K3" s="18" t="s">
        <v>5</v>
      </c>
      <c r="L3" s="17" t="s">
        <v>40</v>
      </c>
    </row>
    <row r="4" spans="1:12" ht="15.6" x14ac:dyDescent="0.3">
      <c r="A4" s="1">
        <v>1</v>
      </c>
      <c r="B4" s="13" t="s">
        <v>6</v>
      </c>
      <c r="C4" s="11">
        <v>1213</v>
      </c>
      <c r="D4" s="12">
        <f>(C4/12)*7</f>
        <v>707.58333333333326</v>
      </c>
      <c r="E4" s="12">
        <v>324.20999999999998</v>
      </c>
      <c r="F4" s="34">
        <v>6.2200000000000006</v>
      </c>
      <c r="G4" s="12">
        <f t="shared" ref="G4:G22" si="0">E4+F4</f>
        <v>330.43</v>
      </c>
      <c r="H4" s="35">
        <f t="shared" ref="H4:H23" si="1">G4/D4</f>
        <v>0.46698386526910851</v>
      </c>
      <c r="I4" s="2">
        <v>2</v>
      </c>
      <c r="J4" s="2">
        <v>0</v>
      </c>
      <c r="K4" s="43">
        <v>3</v>
      </c>
      <c r="L4" s="36">
        <v>2</v>
      </c>
    </row>
    <row r="5" spans="1:12" ht="15.6" x14ac:dyDescent="0.3">
      <c r="A5" s="1">
        <v>2</v>
      </c>
      <c r="B5" s="13" t="s">
        <v>7</v>
      </c>
      <c r="C5" s="6">
        <v>286</v>
      </c>
      <c r="D5" s="12">
        <f t="shared" ref="D5:D22" si="2">(C5/12)*7</f>
        <v>166.83333333333331</v>
      </c>
      <c r="E5" s="7">
        <v>10.199999999999999</v>
      </c>
      <c r="F5" s="34">
        <v>10.35</v>
      </c>
      <c r="G5" s="12">
        <f t="shared" si="0"/>
        <v>20.549999999999997</v>
      </c>
      <c r="H5" s="35">
        <f t="shared" si="1"/>
        <v>0.12317682317682317</v>
      </c>
      <c r="I5" s="2">
        <v>0</v>
      </c>
      <c r="J5" s="2">
        <v>0</v>
      </c>
      <c r="K5" s="43">
        <v>2</v>
      </c>
      <c r="L5" s="36">
        <v>1</v>
      </c>
    </row>
    <row r="6" spans="1:12" ht="15.6" x14ac:dyDescent="0.3">
      <c r="A6" s="1">
        <v>3</v>
      </c>
      <c r="B6" s="14" t="s">
        <v>8</v>
      </c>
      <c r="C6" s="6">
        <v>449</v>
      </c>
      <c r="D6" s="12">
        <f t="shared" si="2"/>
        <v>261.91666666666663</v>
      </c>
      <c r="E6" s="7">
        <v>38.85</v>
      </c>
      <c r="F6" s="34">
        <v>5.6</v>
      </c>
      <c r="G6" s="12">
        <f t="shared" si="0"/>
        <v>44.45</v>
      </c>
      <c r="H6" s="35">
        <f t="shared" si="1"/>
        <v>0.16971046770601339</v>
      </c>
      <c r="I6" s="2">
        <v>2</v>
      </c>
      <c r="J6" s="2">
        <v>2</v>
      </c>
      <c r="K6" s="43">
        <v>2</v>
      </c>
      <c r="L6" s="36">
        <v>0</v>
      </c>
    </row>
    <row r="7" spans="1:12" ht="15.6" x14ac:dyDescent="0.3">
      <c r="A7" s="1">
        <v>4</v>
      </c>
      <c r="B7" s="15" t="s">
        <v>9</v>
      </c>
      <c r="C7" s="6">
        <v>147</v>
      </c>
      <c r="D7" s="12">
        <f t="shared" si="2"/>
        <v>85.75</v>
      </c>
      <c r="E7" s="7">
        <v>18.920000000000002</v>
      </c>
      <c r="F7" s="34">
        <v>3.29</v>
      </c>
      <c r="G7" s="12">
        <f t="shared" si="0"/>
        <v>22.21</v>
      </c>
      <c r="H7" s="35">
        <f t="shared" si="1"/>
        <v>0.25900874635568516</v>
      </c>
      <c r="I7" s="2">
        <v>1</v>
      </c>
      <c r="J7" s="2">
        <v>1</v>
      </c>
      <c r="K7" s="43">
        <v>2</v>
      </c>
      <c r="L7" s="36">
        <v>0</v>
      </c>
    </row>
    <row r="8" spans="1:12" ht="15.6" x14ac:dyDescent="0.3">
      <c r="A8" s="1">
        <v>5</v>
      </c>
      <c r="B8" s="14" t="s">
        <v>10</v>
      </c>
      <c r="C8" s="6">
        <v>607</v>
      </c>
      <c r="D8" s="12">
        <f t="shared" si="2"/>
        <v>354.08333333333337</v>
      </c>
      <c r="E8" s="7">
        <v>146.75</v>
      </c>
      <c r="F8" s="34">
        <v>-4.42</v>
      </c>
      <c r="G8" s="12">
        <f t="shared" si="0"/>
        <v>142.33000000000001</v>
      </c>
      <c r="H8" s="35">
        <f t="shared" si="1"/>
        <v>0.4019675217698282</v>
      </c>
      <c r="I8" s="2">
        <v>5</v>
      </c>
      <c r="J8" s="2">
        <v>1</v>
      </c>
      <c r="K8" s="43">
        <v>1</v>
      </c>
      <c r="L8" s="36">
        <v>0</v>
      </c>
    </row>
    <row r="9" spans="1:12" ht="15.6" x14ac:dyDescent="0.3">
      <c r="A9" s="1">
        <v>6</v>
      </c>
      <c r="B9" s="14" t="s">
        <v>11</v>
      </c>
      <c r="C9" s="6">
        <v>279</v>
      </c>
      <c r="D9" s="12">
        <f t="shared" si="2"/>
        <v>162.75</v>
      </c>
      <c r="E9" s="7">
        <v>21.94</v>
      </c>
      <c r="F9" s="34">
        <v>5.99</v>
      </c>
      <c r="G9" s="12">
        <f t="shared" si="0"/>
        <v>27.93</v>
      </c>
      <c r="H9" s="35">
        <f t="shared" si="1"/>
        <v>0.17161290322580644</v>
      </c>
      <c r="I9" s="2">
        <v>2</v>
      </c>
      <c r="J9" s="2">
        <v>1</v>
      </c>
      <c r="K9" s="43">
        <v>2</v>
      </c>
      <c r="L9" s="36">
        <v>2</v>
      </c>
    </row>
    <row r="10" spans="1:12" ht="15.6" x14ac:dyDescent="0.3">
      <c r="A10" s="5">
        <v>7</v>
      </c>
      <c r="B10" s="16" t="s">
        <v>12</v>
      </c>
      <c r="C10" s="9">
        <v>847</v>
      </c>
      <c r="D10" s="12">
        <f t="shared" si="2"/>
        <v>494.08333333333331</v>
      </c>
      <c r="E10" s="10">
        <v>142.76</v>
      </c>
      <c r="F10" s="34">
        <v>-6.8100000000000005</v>
      </c>
      <c r="G10" s="12">
        <f t="shared" si="0"/>
        <v>135.94999999999999</v>
      </c>
      <c r="H10" s="35">
        <f t="shared" si="1"/>
        <v>0.27515601281835045</v>
      </c>
      <c r="I10" s="2">
        <v>4</v>
      </c>
      <c r="J10" s="2">
        <v>3</v>
      </c>
      <c r="K10" s="43">
        <v>2</v>
      </c>
      <c r="L10" s="36">
        <v>3</v>
      </c>
    </row>
    <row r="11" spans="1:12" ht="15.6" x14ac:dyDescent="0.3">
      <c r="A11" s="1">
        <v>8</v>
      </c>
      <c r="B11" s="14" t="s">
        <v>13</v>
      </c>
      <c r="C11" s="6">
        <v>274</v>
      </c>
      <c r="D11" s="12">
        <f t="shared" si="2"/>
        <v>159.83333333333331</v>
      </c>
      <c r="E11" s="7">
        <v>35.46</v>
      </c>
      <c r="F11" s="34">
        <v>5.7299999999999995</v>
      </c>
      <c r="G11" s="12">
        <f t="shared" si="0"/>
        <v>41.19</v>
      </c>
      <c r="H11" s="35">
        <f t="shared" si="1"/>
        <v>0.25770594369134514</v>
      </c>
      <c r="I11" s="2">
        <v>7</v>
      </c>
      <c r="J11" s="2">
        <v>4</v>
      </c>
      <c r="K11" s="43">
        <v>1</v>
      </c>
      <c r="L11" s="36">
        <v>0</v>
      </c>
    </row>
    <row r="12" spans="1:12" ht="15.6" x14ac:dyDescent="0.3">
      <c r="A12" s="1">
        <v>9</v>
      </c>
      <c r="B12" s="19" t="s">
        <v>14</v>
      </c>
      <c r="C12" s="6">
        <v>334</v>
      </c>
      <c r="D12" s="12">
        <f t="shared" si="2"/>
        <v>194.83333333333331</v>
      </c>
      <c r="E12" s="7">
        <v>38.5</v>
      </c>
      <c r="F12" s="34">
        <v>0.89999999999999947</v>
      </c>
      <c r="G12" s="12">
        <f t="shared" si="0"/>
        <v>39.4</v>
      </c>
      <c r="H12" s="35">
        <f t="shared" si="1"/>
        <v>0.20222412318220703</v>
      </c>
      <c r="I12" s="2">
        <v>1</v>
      </c>
      <c r="J12" s="4">
        <v>0</v>
      </c>
      <c r="K12" s="43">
        <v>3</v>
      </c>
      <c r="L12" s="36">
        <v>3</v>
      </c>
    </row>
    <row r="13" spans="1:12" ht="15.6" x14ac:dyDescent="0.3">
      <c r="A13" s="1">
        <v>10</v>
      </c>
      <c r="B13" s="19" t="s">
        <v>15</v>
      </c>
      <c r="C13" s="6">
        <v>675</v>
      </c>
      <c r="D13" s="12">
        <f t="shared" si="2"/>
        <v>393.75</v>
      </c>
      <c r="E13" s="7">
        <v>81.69</v>
      </c>
      <c r="F13" s="34">
        <v>0.12000000000000011</v>
      </c>
      <c r="G13" s="12">
        <f t="shared" si="0"/>
        <v>81.81</v>
      </c>
      <c r="H13" s="35">
        <f t="shared" si="1"/>
        <v>0.20777142857142858</v>
      </c>
      <c r="I13" s="2">
        <v>0</v>
      </c>
      <c r="J13" s="2">
        <v>0</v>
      </c>
      <c r="K13" s="43">
        <v>1</v>
      </c>
      <c r="L13" s="36">
        <v>2</v>
      </c>
    </row>
    <row r="14" spans="1:12" ht="15.6" x14ac:dyDescent="0.3">
      <c r="A14" s="1">
        <v>11</v>
      </c>
      <c r="B14" s="14" t="s">
        <v>16</v>
      </c>
      <c r="C14" s="6">
        <v>278</v>
      </c>
      <c r="D14" s="12">
        <f t="shared" si="2"/>
        <v>162.16666666666669</v>
      </c>
      <c r="E14" s="7">
        <v>27.79</v>
      </c>
      <c r="F14" s="34">
        <v>9.5800000000000018</v>
      </c>
      <c r="G14" s="12">
        <f t="shared" si="0"/>
        <v>37.370000000000005</v>
      </c>
      <c r="H14" s="35">
        <f t="shared" si="1"/>
        <v>0.23044193216855088</v>
      </c>
      <c r="I14" s="2">
        <v>1</v>
      </c>
      <c r="J14" s="2">
        <v>1</v>
      </c>
      <c r="K14" s="43">
        <v>2</v>
      </c>
      <c r="L14" s="36">
        <v>0</v>
      </c>
    </row>
    <row r="15" spans="1:12" ht="15.6" x14ac:dyDescent="0.3">
      <c r="A15" s="1">
        <v>12</v>
      </c>
      <c r="B15" s="14" t="s">
        <v>17</v>
      </c>
      <c r="C15" s="6">
        <v>328</v>
      </c>
      <c r="D15" s="12">
        <f t="shared" si="2"/>
        <v>191.33333333333331</v>
      </c>
      <c r="E15" s="7">
        <v>105.51</v>
      </c>
      <c r="F15" s="34">
        <v>-1.1000000000000001</v>
      </c>
      <c r="G15" s="12">
        <f t="shared" si="0"/>
        <v>104.41000000000001</v>
      </c>
      <c r="H15" s="35">
        <v>0.5917073170731707</v>
      </c>
      <c r="I15" s="2">
        <v>3</v>
      </c>
      <c r="J15" s="2">
        <v>2</v>
      </c>
      <c r="K15" s="43">
        <v>2</v>
      </c>
      <c r="L15" s="36">
        <v>1</v>
      </c>
    </row>
    <row r="16" spans="1:12" ht="15.6" x14ac:dyDescent="0.3">
      <c r="A16" s="1">
        <v>13</v>
      </c>
      <c r="B16" s="14" t="s">
        <v>18</v>
      </c>
      <c r="C16" s="6">
        <v>522</v>
      </c>
      <c r="D16" s="12">
        <f t="shared" si="2"/>
        <v>304.5</v>
      </c>
      <c r="E16" s="7">
        <v>73.48</v>
      </c>
      <c r="F16" s="34">
        <v>0</v>
      </c>
      <c r="G16" s="12">
        <f t="shared" si="0"/>
        <v>73.48</v>
      </c>
      <c r="H16" s="35">
        <v>0.23019157088122605</v>
      </c>
      <c r="I16" s="2">
        <v>2</v>
      </c>
      <c r="J16" s="2">
        <v>2</v>
      </c>
      <c r="K16" s="43">
        <v>1</v>
      </c>
      <c r="L16" s="36">
        <v>0</v>
      </c>
    </row>
    <row r="17" spans="1:12" ht="31.2" x14ac:dyDescent="0.3">
      <c r="A17" s="1">
        <v>14</v>
      </c>
      <c r="B17" s="14" t="s">
        <v>19</v>
      </c>
      <c r="C17" s="11">
        <v>359</v>
      </c>
      <c r="D17" s="12">
        <f t="shared" si="2"/>
        <v>209.41666666666669</v>
      </c>
      <c r="E17" s="12">
        <v>86.929999999999993</v>
      </c>
      <c r="F17" s="34">
        <v>-1.2</v>
      </c>
      <c r="G17" s="12">
        <f t="shared" si="0"/>
        <v>85.72999999999999</v>
      </c>
      <c r="H17" s="35">
        <f t="shared" si="1"/>
        <v>0.40937524870672493</v>
      </c>
      <c r="I17" s="2">
        <v>5</v>
      </c>
      <c r="J17" s="2">
        <v>5</v>
      </c>
      <c r="K17" s="2">
        <v>2</v>
      </c>
      <c r="L17" s="46">
        <v>0</v>
      </c>
    </row>
    <row r="18" spans="1:12" ht="31.2" x14ac:dyDescent="0.3">
      <c r="A18" s="1">
        <v>15</v>
      </c>
      <c r="B18" s="14" t="s">
        <v>20</v>
      </c>
      <c r="C18" s="11">
        <v>316</v>
      </c>
      <c r="D18" s="12">
        <f t="shared" si="2"/>
        <v>184.33333333333331</v>
      </c>
      <c r="E18" s="12">
        <v>179.5</v>
      </c>
      <c r="F18" s="34">
        <v>-12.41</v>
      </c>
      <c r="G18" s="12">
        <f t="shared" si="0"/>
        <v>167.09</v>
      </c>
      <c r="H18" s="35">
        <f t="shared" si="1"/>
        <v>0.90645569620253175</v>
      </c>
      <c r="I18" s="8" t="s">
        <v>30</v>
      </c>
      <c r="J18" s="8" t="s">
        <v>30</v>
      </c>
      <c r="K18" s="2">
        <v>0</v>
      </c>
      <c r="L18" s="46">
        <v>0</v>
      </c>
    </row>
    <row r="19" spans="1:12" ht="31.2" x14ac:dyDescent="0.3">
      <c r="A19" s="1">
        <v>16</v>
      </c>
      <c r="B19" s="14" t="s">
        <v>21</v>
      </c>
      <c r="C19" s="11">
        <v>466</v>
      </c>
      <c r="D19" s="12">
        <f t="shared" si="2"/>
        <v>271.83333333333337</v>
      </c>
      <c r="E19" s="12">
        <v>246.08</v>
      </c>
      <c r="F19" s="34">
        <v>0</v>
      </c>
      <c r="G19" s="12">
        <f t="shared" si="0"/>
        <v>246.08</v>
      </c>
      <c r="H19" s="35">
        <f t="shared" si="1"/>
        <v>0.90526057633353763</v>
      </c>
      <c r="I19" s="11">
        <v>4</v>
      </c>
      <c r="J19" s="11">
        <v>2</v>
      </c>
      <c r="K19" s="2">
        <v>1</v>
      </c>
      <c r="L19" s="46">
        <v>0</v>
      </c>
    </row>
    <row r="20" spans="1:12" ht="15.6" x14ac:dyDescent="0.3">
      <c r="A20" s="1">
        <v>17</v>
      </c>
      <c r="B20" s="13" t="s">
        <v>22</v>
      </c>
      <c r="C20" s="11">
        <v>559</v>
      </c>
      <c r="D20" s="12">
        <f t="shared" si="2"/>
        <v>326.08333333333337</v>
      </c>
      <c r="E20" s="7">
        <v>214.87</v>
      </c>
      <c r="F20" s="34">
        <v>-14.940000000000003</v>
      </c>
      <c r="G20" s="12">
        <f t="shared" si="0"/>
        <v>199.93</v>
      </c>
      <c r="H20" s="35">
        <f t="shared" si="1"/>
        <v>0.61312547917199078</v>
      </c>
      <c r="I20" s="11">
        <v>3</v>
      </c>
      <c r="J20" s="11">
        <v>1</v>
      </c>
      <c r="K20" s="2">
        <v>1</v>
      </c>
      <c r="L20" s="46">
        <v>1</v>
      </c>
    </row>
    <row r="21" spans="1:12" ht="31.2" x14ac:dyDescent="0.3">
      <c r="A21" s="1">
        <v>18</v>
      </c>
      <c r="B21" s="14" t="s">
        <v>23</v>
      </c>
      <c r="C21" s="11">
        <v>730</v>
      </c>
      <c r="D21" s="12">
        <f t="shared" si="2"/>
        <v>425.83333333333337</v>
      </c>
      <c r="E21" s="12">
        <v>216.12</v>
      </c>
      <c r="F21" s="34">
        <v>-6</v>
      </c>
      <c r="G21" s="12">
        <f t="shared" si="0"/>
        <v>210.12</v>
      </c>
      <c r="H21" s="35">
        <f t="shared" si="1"/>
        <v>0.49343248532289624</v>
      </c>
      <c r="I21" s="8">
        <v>1</v>
      </c>
      <c r="J21" s="8">
        <v>1</v>
      </c>
      <c r="K21" s="2">
        <v>1</v>
      </c>
      <c r="L21" s="46">
        <v>0</v>
      </c>
    </row>
    <row r="22" spans="1:12" ht="31.2" x14ac:dyDescent="0.3">
      <c r="A22" s="1">
        <v>19</v>
      </c>
      <c r="B22" s="14" t="s">
        <v>24</v>
      </c>
      <c r="C22" s="11">
        <v>213</v>
      </c>
      <c r="D22" s="12">
        <f t="shared" si="2"/>
        <v>124.25</v>
      </c>
      <c r="E22" s="12">
        <v>100.68</v>
      </c>
      <c r="F22" s="34">
        <v>-0.9</v>
      </c>
      <c r="G22" s="12">
        <f t="shared" si="0"/>
        <v>99.78</v>
      </c>
      <c r="H22" s="35">
        <f t="shared" si="1"/>
        <v>0.80305835010060367</v>
      </c>
      <c r="I22" s="8">
        <v>5</v>
      </c>
      <c r="J22" s="8">
        <v>5</v>
      </c>
      <c r="K22" s="2">
        <v>0</v>
      </c>
      <c r="L22" s="46">
        <v>0</v>
      </c>
    </row>
    <row r="23" spans="1:12" ht="18" x14ac:dyDescent="0.3">
      <c r="A23" s="37" t="s">
        <v>25</v>
      </c>
      <c r="B23" s="37"/>
      <c r="C23" s="3">
        <f>SUM(C4:C22)</f>
        <v>8882</v>
      </c>
      <c r="D23" s="20">
        <f>SUM(D4:D22)</f>
        <v>5181.1666666666661</v>
      </c>
      <c r="E23" s="20">
        <f>SUM(E4:E22)</f>
        <v>2110.2399999999998</v>
      </c>
      <c r="F23" s="38"/>
      <c r="G23" s="39">
        <f>SUM(G4:G22)</f>
        <v>2110.2400000000002</v>
      </c>
      <c r="H23" s="40">
        <f t="shared" si="1"/>
        <v>0.40729050728600391</v>
      </c>
      <c r="I23" s="3">
        <f>SUM(I4:I22)</f>
        <v>48</v>
      </c>
      <c r="J23" s="3">
        <f>SUM(J4:J22)</f>
        <v>31</v>
      </c>
      <c r="K23" s="3">
        <f>SUM(K4:K22)</f>
        <v>29</v>
      </c>
      <c r="L23" s="3">
        <f>SUM(L4:L22)</f>
        <v>15</v>
      </c>
    </row>
  </sheetData>
  <mergeCells count="11">
    <mergeCell ref="H2:H3"/>
    <mergeCell ref="I2:J2"/>
    <mergeCell ref="K2:L2"/>
    <mergeCell ref="A1:L1"/>
    <mergeCell ref="A2:A3"/>
    <mergeCell ref="B2:B3"/>
    <mergeCell ref="D2:D3"/>
    <mergeCell ref="E2:E3"/>
    <mergeCell ref="F2:F3"/>
    <mergeCell ref="G2:G3"/>
    <mergeCell ref="C2:C3"/>
  </mergeCells>
  <pageMargins left="0.70866141732283472" right="0.70866141732283472" top="0.74803149606299213" bottom="0.74803149606299213" header="0.31496062992125984" footer="0.31496062992125984"/>
  <pageSetup scale="7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9F472-4C25-4E26-BCAD-D7DF9FC0D0AC}">
  <dimension ref="A1:H21"/>
  <sheetViews>
    <sheetView tabSelected="1" view="pageBreakPreview" zoomScaleNormal="100" zoomScaleSheetLayoutView="100" workbookViewId="0">
      <selection activeCell="M15" sqref="M15"/>
    </sheetView>
  </sheetViews>
  <sheetFormatPr defaultRowHeight="14.4" x14ac:dyDescent="0.3"/>
  <cols>
    <col min="1" max="1" width="7.109375" customWidth="1"/>
    <col min="2" max="2" width="14.44140625" customWidth="1"/>
    <col min="3" max="3" width="0" hidden="1" customWidth="1"/>
    <col min="4" max="4" width="12.33203125" customWidth="1"/>
    <col min="5" max="5" width="10.33203125" customWidth="1"/>
    <col min="7" max="7" width="14.33203125" customWidth="1"/>
  </cols>
  <sheetData>
    <row r="1" spans="1:8" ht="17.399999999999999" x14ac:dyDescent="0.3">
      <c r="A1" s="55" t="s">
        <v>45</v>
      </c>
      <c r="B1" s="55"/>
      <c r="C1" s="55"/>
      <c r="D1" s="55"/>
      <c r="E1" s="55"/>
      <c r="F1" s="55"/>
      <c r="G1" s="55"/>
      <c r="H1" s="55"/>
    </row>
    <row r="2" spans="1:8" ht="46.8" x14ac:dyDescent="0.3">
      <c r="A2" s="41" t="s">
        <v>0</v>
      </c>
      <c r="B2" s="42" t="s">
        <v>1</v>
      </c>
      <c r="C2" s="41" t="s">
        <v>29</v>
      </c>
      <c r="D2" s="41" t="s">
        <v>31</v>
      </c>
      <c r="E2" s="41" t="s">
        <v>39</v>
      </c>
      <c r="F2" s="41" t="s">
        <v>32</v>
      </c>
      <c r="G2" s="41" t="s">
        <v>33</v>
      </c>
      <c r="H2" s="41" t="s">
        <v>34</v>
      </c>
    </row>
    <row r="3" spans="1:8" ht="15.6" x14ac:dyDescent="0.3">
      <c r="A3" s="21">
        <v>1</v>
      </c>
      <c r="B3" s="22" t="s">
        <v>6</v>
      </c>
      <c r="C3" s="23">
        <v>13</v>
      </c>
      <c r="D3" s="28">
        <v>385.01004170000004</v>
      </c>
      <c r="E3" s="29">
        <v>330.43</v>
      </c>
      <c r="F3" s="30">
        <f>E3-D3</f>
        <v>-54.580041700000038</v>
      </c>
      <c r="G3" s="30">
        <f>F3/C3</f>
        <v>-4.1984647461538493</v>
      </c>
      <c r="H3" s="31">
        <f>IF(F3/D3&lt;0,F3/D3*100,"+"&amp;ROUND(F3/D3*100,2))</f>
        <v>-14.176264457675842</v>
      </c>
    </row>
    <row r="4" spans="1:8" ht="15.6" x14ac:dyDescent="0.3">
      <c r="A4" s="21">
        <v>2</v>
      </c>
      <c r="B4" s="22" t="s">
        <v>7</v>
      </c>
      <c r="C4" s="23">
        <v>4</v>
      </c>
      <c r="D4" s="28">
        <v>59.015983200000001</v>
      </c>
      <c r="E4" s="29">
        <v>20.549999999999997</v>
      </c>
      <c r="F4" s="30">
        <f t="shared" ref="F4:F21" si="0">E4-D4</f>
        <v>-38.465983200000004</v>
      </c>
      <c r="G4" s="30">
        <f t="shared" ref="G4:G21" si="1">F4/C4</f>
        <v>-9.6164958000000009</v>
      </c>
      <c r="H4" s="31">
        <f>IF(F4/D4&lt;0,F4/D4*100,"+"&amp;ROUND(F4/D4*100,2))</f>
        <v>-65.178924613764636</v>
      </c>
    </row>
    <row r="5" spans="1:8" ht="15.6" x14ac:dyDescent="0.3">
      <c r="A5" s="21">
        <v>3</v>
      </c>
      <c r="B5" s="24" t="s">
        <v>8</v>
      </c>
      <c r="C5" s="23">
        <v>6</v>
      </c>
      <c r="D5" s="28">
        <v>99.133464600000011</v>
      </c>
      <c r="E5" s="29">
        <v>44.45</v>
      </c>
      <c r="F5" s="30">
        <f t="shared" si="0"/>
        <v>-54.683464600000008</v>
      </c>
      <c r="G5" s="30">
        <f t="shared" si="1"/>
        <v>-9.1139107666666686</v>
      </c>
      <c r="H5" s="31">
        <f>IF(F5/D5&lt;0,F5/D5*100,"+"&amp;ROUND(F5/D5*100,2))</f>
        <v>-55.161458162131062</v>
      </c>
    </row>
    <row r="6" spans="1:8" ht="15.6" x14ac:dyDescent="0.3">
      <c r="A6" s="21">
        <v>4</v>
      </c>
      <c r="B6" s="24" t="s">
        <v>9</v>
      </c>
      <c r="C6" s="23">
        <v>2</v>
      </c>
      <c r="D6" s="28">
        <v>33.762482800000001</v>
      </c>
      <c r="E6" s="29">
        <v>22.21</v>
      </c>
      <c r="F6" s="30">
        <f t="shared" si="0"/>
        <v>-11.5524828</v>
      </c>
      <c r="G6" s="30">
        <f t="shared" si="1"/>
        <v>-5.7762414</v>
      </c>
      <c r="H6" s="31">
        <f>IF(F6/D6&lt;0,F6/D6*100,"+"&amp;ROUND(F6/D6*100,2))</f>
        <v>-34.216923170117099</v>
      </c>
    </row>
    <row r="7" spans="1:8" ht="15.6" x14ac:dyDescent="0.3">
      <c r="A7" s="21">
        <v>5</v>
      </c>
      <c r="B7" s="24" t="s">
        <v>10</v>
      </c>
      <c r="C7" s="23">
        <v>8</v>
      </c>
      <c r="D7" s="28">
        <v>161.8322804</v>
      </c>
      <c r="E7" s="29">
        <v>142.33000000000001</v>
      </c>
      <c r="F7" s="30">
        <f t="shared" si="0"/>
        <v>-19.502280399999989</v>
      </c>
      <c r="G7" s="30">
        <f t="shared" si="1"/>
        <v>-2.4377850499999987</v>
      </c>
      <c r="H7" s="31">
        <f t="shared" ref="H7:H21" si="2">IF(F7/D7&lt;0,F7/D7*100,"+"&amp;ROUND(F7/D7*100,2))</f>
        <v>-12.050921084345042</v>
      </c>
    </row>
    <row r="8" spans="1:8" ht="15.6" x14ac:dyDescent="0.3">
      <c r="A8" s="21">
        <v>6</v>
      </c>
      <c r="B8" s="24" t="s">
        <v>11</v>
      </c>
      <c r="C8" s="23">
        <v>3</v>
      </c>
      <c r="D8" s="28">
        <v>66.088725386440686</v>
      </c>
      <c r="E8" s="29">
        <v>27.93</v>
      </c>
      <c r="F8" s="30">
        <f t="shared" si="0"/>
        <v>-38.158725386440686</v>
      </c>
      <c r="G8" s="30">
        <f t="shared" si="1"/>
        <v>-12.719575128813561</v>
      </c>
      <c r="H8" s="31">
        <f t="shared" si="2"/>
        <v>-57.738631155791133</v>
      </c>
    </row>
    <row r="9" spans="1:8" ht="15.6" x14ac:dyDescent="0.3">
      <c r="A9" s="25">
        <v>7</v>
      </c>
      <c r="B9" s="26" t="s">
        <v>12</v>
      </c>
      <c r="C9" s="27">
        <v>8</v>
      </c>
      <c r="D9" s="32">
        <v>173.0175807</v>
      </c>
      <c r="E9" s="33">
        <v>135.94999999999999</v>
      </c>
      <c r="F9" s="30">
        <f t="shared" si="0"/>
        <v>-37.067580700000008</v>
      </c>
      <c r="G9" s="30">
        <f t="shared" si="1"/>
        <v>-4.633447587500001</v>
      </c>
      <c r="H9" s="31">
        <f t="shared" si="2"/>
        <v>-21.424170046784159</v>
      </c>
    </row>
    <row r="10" spans="1:8" ht="15.6" x14ac:dyDescent="0.3">
      <c r="A10" s="21">
        <v>8</v>
      </c>
      <c r="B10" s="24" t="s">
        <v>13</v>
      </c>
      <c r="C10" s="23">
        <v>3</v>
      </c>
      <c r="D10" s="28">
        <v>68.040794199999993</v>
      </c>
      <c r="E10" s="29">
        <v>41.19</v>
      </c>
      <c r="F10" s="30">
        <f t="shared" si="0"/>
        <v>-26.850794199999996</v>
      </c>
      <c r="G10" s="30">
        <f t="shared" si="1"/>
        <v>-8.9502647333333325</v>
      </c>
      <c r="H10" s="31">
        <f t="shared" si="2"/>
        <v>-39.462787752115922</v>
      </c>
    </row>
    <row r="11" spans="1:8" ht="15.6" x14ac:dyDescent="0.3">
      <c r="A11" s="21">
        <v>9</v>
      </c>
      <c r="B11" s="24" t="s">
        <v>14</v>
      </c>
      <c r="C11" s="23">
        <v>4</v>
      </c>
      <c r="D11" s="28">
        <v>78.520032300000011</v>
      </c>
      <c r="E11" s="29">
        <v>39.4</v>
      </c>
      <c r="F11" s="30">
        <f t="shared" si="0"/>
        <v>-39.120032300000013</v>
      </c>
      <c r="G11" s="30">
        <f t="shared" si="1"/>
        <v>-9.7800080750000031</v>
      </c>
      <c r="H11" s="31">
        <f t="shared" si="2"/>
        <v>-49.821722118675197</v>
      </c>
    </row>
    <row r="12" spans="1:8" ht="15.6" x14ac:dyDescent="0.3">
      <c r="A12" s="21">
        <v>10</v>
      </c>
      <c r="B12" s="24" t="s">
        <v>15</v>
      </c>
      <c r="C12" s="23">
        <v>8</v>
      </c>
      <c r="D12" s="28">
        <v>166.93096259999999</v>
      </c>
      <c r="E12" s="29">
        <v>81.81</v>
      </c>
      <c r="F12" s="30">
        <f t="shared" si="0"/>
        <v>-85.120962599999984</v>
      </c>
      <c r="G12" s="30">
        <f t="shared" si="1"/>
        <v>-10.640120324999998</v>
      </c>
      <c r="H12" s="31">
        <f t="shared" si="2"/>
        <v>-50.991716140741886</v>
      </c>
    </row>
    <row r="13" spans="1:8" ht="15.6" x14ac:dyDescent="0.3">
      <c r="A13" s="21">
        <v>11</v>
      </c>
      <c r="B13" s="24" t="s">
        <v>16</v>
      </c>
      <c r="C13" s="23">
        <v>5</v>
      </c>
      <c r="D13" s="28">
        <v>87.406815972000004</v>
      </c>
      <c r="E13" s="29">
        <v>37.370000000000005</v>
      </c>
      <c r="F13" s="30">
        <f t="shared" si="0"/>
        <v>-50.036815971999999</v>
      </c>
      <c r="G13" s="30">
        <f t="shared" si="1"/>
        <v>-10.0073631944</v>
      </c>
      <c r="H13" s="31">
        <f t="shared" si="2"/>
        <v>-57.245897148374389</v>
      </c>
    </row>
    <row r="14" spans="1:8" ht="15.6" x14ac:dyDescent="0.3">
      <c r="A14" s="21">
        <v>12</v>
      </c>
      <c r="B14" s="24" t="s">
        <v>17</v>
      </c>
      <c r="C14" s="23">
        <v>3</v>
      </c>
      <c r="D14" s="28">
        <v>68.392594000000003</v>
      </c>
      <c r="E14" s="29">
        <v>97.039999999999992</v>
      </c>
      <c r="F14" s="30">
        <f t="shared" si="0"/>
        <v>28.647405999999989</v>
      </c>
      <c r="G14" s="30">
        <f t="shared" si="1"/>
        <v>9.5491353333333304</v>
      </c>
      <c r="H14" s="31" t="str">
        <f t="shared" si="2"/>
        <v>+41.89</v>
      </c>
    </row>
    <row r="15" spans="1:8" ht="15.6" x14ac:dyDescent="0.3">
      <c r="A15" s="21">
        <v>13</v>
      </c>
      <c r="B15" s="24" t="s">
        <v>18</v>
      </c>
      <c r="C15" s="23">
        <v>6</v>
      </c>
      <c r="D15" s="28">
        <v>112.27</v>
      </c>
      <c r="E15" s="29">
        <v>60.08</v>
      </c>
      <c r="F15" s="30">
        <f t="shared" si="0"/>
        <v>-52.19</v>
      </c>
      <c r="G15" s="30">
        <f t="shared" si="1"/>
        <v>-8.6983333333333324</v>
      </c>
      <c r="H15" s="31">
        <f t="shared" si="2"/>
        <v>-46.486149461120512</v>
      </c>
    </row>
    <row r="16" spans="1:8" ht="31.2" x14ac:dyDescent="0.3">
      <c r="A16" s="21">
        <v>14</v>
      </c>
      <c r="B16" s="24" t="s">
        <v>19</v>
      </c>
      <c r="C16" s="23">
        <v>5</v>
      </c>
      <c r="D16" s="28">
        <v>112.99</v>
      </c>
      <c r="E16" s="29">
        <v>85.72999999999999</v>
      </c>
      <c r="F16" s="30">
        <f t="shared" si="0"/>
        <v>-27.260000000000005</v>
      </c>
      <c r="G16" s="30">
        <f t="shared" si="1"/>
        <v>-5.4520000000000008</v>
      </c>
      <c r="H16" s="31">
        <f t="shared" si="2"/>
        <v>-24.12602885211081</v>
      </c>
    </row>
    <row r="17" spans="1:8" ht="31.2" x14ac:dyDescent="0.3">
      <c r="A17" s="21">
        <v>15</v>
      </c>
      <c r="B17" s="24" t="s">
        <v>20</v>
      </c>
      <c r="C17" s="23">
        <v>5</v>
      </c>
      <c r="D17" s="28">
        <v>146.66999999999999</v>
      </c>
      <c r="E17" s="12">
        <v>167.09</v>
      </c>
      <c r="F17" s="30">
        <f t="shared" si="0"/>
        <v>20.420000000000016</v>
      </c>
      <c r="G17" s="30">
        <f t="shared" si="1"/>
        <v>4.0840000000000032</v>
      </c>
      <c r="H17" s="31" t="str">
        <f t="shared" si="2"/>
        <v>+13.92</v>
      </c>
    </row>
    <row r="18" spans="1:8" ht="37.5" customHeight="1" x14ac:dyDescent="0.3">
      <c r="A18" s="21">
        <v>16</v>
      </c>
      <c r="B18" s="24" t="s">
        <v>21</v>
      </c>
      <c r="C18" s="23">
        <v>6</v>
      </c>
      <c r="D18" s="28">
        <v>188.21</v>
      </c>
      <c r="E18" s="29">
        <v>246.08</v>
      </c>
      <c r="F18" s="30">
        <f t="shared" si="0"/>
        <v>57.870000000000005</v>
      </c>
      <c r="G18" s="30">
        <f t="shared" si="1"/>
        <v>9.6450000000000014</v>
      </c>
      <c r="H18" s="31" t="str">
        <f t="shared" si="2"/>
        <v>+30.75</v>
      </c>
    </row>
    <row r="19" spans="1:8" ht="15.6" x14ac:dyDescent="0.3">
      <c r="A19" s="21">
        <v>17</v>
      </c>
      <c r="B19" s="22" t="s">
        <v>22</v>
      </c>
      <c r="C19" s="23">
        <v>6</v>
      </c>
      <c r="D19" s="28">
        <v>134.71</v>
      </c>
      <c r="E19" s="30">
        <v>199.93</v>
      </c>
      <c r="F19" s="30">
        <f t="shared" si="0"/>
        <v>65.22</v>
      </c>
      <c r="G19" s="30">
        <f t="shared" si="1"/>
        <v>10.87</v>
      </c>
      <c r="H19" s="31" t="str">
        <f t="shared" si="2"/>
        <v>+48.42</v>
      </c>
    </row>
    <row r="20" spans="1:8" ht="31.2" x14ac:dyDescent="0.3">
      <c r="A20" s="21">
        <v>18</v>
      </c>
      <c r="B20" s="24" t="s">
        <v>23</v>
      </c>
      <c r="C20" s="23">
        <v>8</v>
      </c>
      <c r="D20" s="28">
        <v>379.89</v>
      </c>
      <c r="E20" s="30">
        <v>210.12</v>
      </c>
      <c r="F20" s="30">
        <f t="shared" si="0"/>
        <v>-169.76999999999998</v>
      </c>
      <c r="G20" s="30">
        <f t="shared" si="1"/>
        <v>-21.221249999999998</v>
      </c>
      <c r="H20" s="31">
        <f t="shared" si="2"/>
        <v>-44.689252151938717</v>
      </c>
    </row>
    <row r="21" spans="1:8" ht="31.2" x14ac:dyDescent="0.3">
      <c r="A21" s="21">
        <v>19</v>
      </c>
      <c r="B21" s="24" t="s">
        <v>24</v>
      </c>
      <c r="C21" s="23">
        <v>2</v>
      </c>
      <c r="D21" s="28">
        <v>94.19</v>
      </c>
      <c r="E21" s="30">
        <v>99.78</v>
      </c>
      <c r="F21" s="30">
        <f t="shared" si="0"/>
        <v>5.5900000000000034</v>
      </c>
      <c r="G21" s="30">
        <f t="shared" si="1"/>
        <v>2.7950000000000017</v>
      </c>
      <c r="H21" s="31" t="str">
        <f t="shared" si="2"/>
        <v>+5.93</v>
      </c>
    </row>
  </sheetData>
  <mergeCells count="1">
    <mergeCell ref="A1:H1"/>
  </mergeCells>
  <conditionalFormatting sqref="H3:H2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Final Summary</vt:lpstr>
      <vt:lpstr>Revenue- Expenditure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NPC11</dc:creator>
  <cp:lastModifiedBy>Vijay Kumar</cp:lastModifiedBy>
  <cp:lastPrinted>2025-11-18T09:56:06Z</cp:lastPrinted>
  <dcterms:created xsi:type="dcterms:W3CDTF">2023-10-17T11:35:54Z</dcterms:created>
  <dcterms:modified xsi:type="dcterms:W3CDTF">2026-01-24T14:08:39Z</dcterms:modified>
</cp:coreProperties>
</file>